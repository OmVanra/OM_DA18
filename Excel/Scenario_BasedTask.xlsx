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727ad24c82bbf5c/Desktop/"/>
    </mc:Choice>
  </mc:AlternateContent>
  <xr:revisionPtr revIDLastSave="0" documentId="11_555C429DC5DEBF10A3C88346071299B96E6181C0" xr6:coauthVersionLast="47" xr6:coauthVersionMax="47" xr10:uidLastSave="{00000000-0000-0000-0000-000000000000}"/>
  <bookViews>
    <workbookView xWindow="-108" yWindow="-108" windowWidth="23256" windowHeight="13896" firstSheet="6" activeTab="9" xr2:uid="{00000000-000D-0000-FFFF-FFFF00000000}"/>
  </bookViews>
  <sheets>
    <sheet name="1. E-Commerce" sheetId="1" r:id="rId1"/>
    <sheet name="2. Hospital" sheetId="2" r:id="rId2"/>
    <sheet name="3. Movie Booking" sheetId="3" r:id="rId3"/>
    <sheet name="4. School Library" sheetId="4" r:id="rId4"/>
    <sheet name="5. Restaurant Billing" sheetId="5" r:id="rId5"/>
    <sheet name="6. Airport Passenger" sheetId="6" r:id="rId6"/>
    <sheet name="7. Cricket Tournament" sheetId="7" r:id="rId7"/>
    <sheet name="8. Gym Membership" sheetId="8" r:id="rId8"/>
    <sheet name="9. Course Enrollment" sheetId="9" r:id="rId9"/>
    <sheet name="10. HR Tracker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0" l="1"/>
  <c r="F5" i="10"/>
  <c r="E5" i="10"/>
  <c r="G4" i="10"/>
  <c r="F4" i="10"/>
  <c r="E4" i="10"/>
  <c r="G3" i="10"/>
  <c r="F3" i="10"/>
  <c r="E3" i="10"/>
  <c r="G2" i="10"/>
  <c r="F2" i="10"/>
  <c r="E2" i="10"/>
  <c r="G5" i="9"/>
  <c r="F5" i="9"/>
  <c r="E5" i="9"/>
  <c r="G4" i="9"/>
  <c r="F4" i="9"/>
  <c r="E4" i="9"/>
  <c r="G3" i="9"/>
  <c r="F3" i="9"/>
  <c r="E3" i="9"/>
  <c r="G2" i="9"/>
  <c r="F2" i="9"/>
  <c r="E2" i="9"/>
  <c r="G5" i="8"/>
  <c r="F5" i="8"/>
  <c r="E5" i="8"/>
  <c r="G4" i="8"/>
  <c r="F4" i="8"/>
  <c r="E4" i="8"/>
  <c r="G3" i="8"/>
  <c r="F3" i="8"/>
  <c r="E3" i="8"/>
  <c r="G2" i="8"/>
  <c r="F2" i="8"/>
  <c r="E2" i="8"/>
  <c r="F5" i="7"/>
  <c r="E5" i="7"/>
  <c r="D5" i="7"/>
  <c r="F4" i="7"/>
  <c r="E4" i="7"/>
  <c r="D4" i="7"/>
  <c r="F3" i="7"/>
  <c r="D3" i="7"/>
  <c r="E3" i="7" s="1"/>
  <c r="F2" i="7"/>
  <c r="D2" i="7"/>
  <c r="E2" i="7" s="1"/>
  <c r="H4" i="6"/>
  <c r="G4" i="6"/>
  <c r="E4" i="6"/>
  <c r="D4" i="6"/>
  <c r="F4" i="6" s="1"/>
  <c r="H3" i="6"/>
  <c r="G3" i="6"/>
  <c r="E3" i="6"/>
  <c r="D3" i="6"/>
  <c r="F3" i="6" s="1"/>
  <c r="H2" i="6"/>
  <c r="G2" i="6"/>
  <c r="E2" i="6"/>
  <c r="D2" i="6"/>
  <c r="F2" i="6" s="1"/>
  <c r="H5" i="5"/>
  <c r="G5" i="5"/>
  <c r="F5" i="5"/>
  <c r="H4" i="5"/>
  <c r="G4" i="5"/>
  <c r="F4" i="5"/>
  <c r="H3" i="5"/>
  <c r="G3" i="5"/>
  <c r="F3" i="5"/>
  <c r="H2" i="5"/>
  <c r="G2" i="5"/>
  <c r="F2" i="5"/>
  <c r="F4" i="4"/>
  <c r="G4" i="4" s="1"/>
  <c r="E4" i="4"/>
  <c r="F3" i="4"/>
  <c r="G3" i="4" s="1"/>
  <c r="E3" i="4"/>
  <c r="G2" i="4"/>
  <c r="F2" i="4"/>
  <c r="E2" i="4"/>
  <c r="G5" i="3"/>
  <c r="F5" i="3"/>
  <c r="E5" i="3"/>
  <c r="G4" i="3"/>
  <c r="F4" i="3"/>
  <c r="E4" i="3"/>
  <c r="G3" i="3"/>
  <c r="F3" i="3"/>
  <c r="E3" i="3"/>
  <c r="G2" i="3"/>
  <c r="E2" i="3"/>
  <c r="F2" i="3" s="1"/>
  <c r="G5" i="2"/>
  <c r="F5" i="2"/>
  <c r="G4" i="2"/>
  <c r="F4" i="2"/>
  <c r="G3" i="2"/>
  <c r="F3" i="2"/>
  <c r="G2" i="2"/>
  <c r="F2" i="2"/>
  <c r="G5" i="1"/>
  <c r="H5" i="1" s="1"/>
  <c r="G4" i="1"/>
  <c r="H4" i="1" s="1"/>
  <c r="H3" i="1"/>
  <c r="G3" i="1"/>
  <c r="G2" i="1"/>
  <c r="H2" i="1" s="1"/>
</calcChain>
</file>

<file path=xl/sharedStrings.xml><?xml version="1.0" encoding="utf-8"?>
<sst xmlns="http://schemas.openxmlformats.org/spreadsheetml/2006/main" count="171" uniqueCount="136">
  <si>
    <t>Order ID</t>
  </si>
  <si>
    <t>Customer</t>
  </si>
  <si>
    <t>Product</t>
  </si>
  <si>
    <t>Qty</t>
  </si>
  <si>
    <t>Unit Price</t>
  </si>
  <si>
    <t>Status</t>
  </si>
  <si>
    <t>Total Amount</t>
  </si>
  <si>
    <t>Order Category</t>
  </si>
  <si>
    <t>O101</t>
  </si>
  <si>
    <t>Amit</t>
  </si>
  <si>
    <t>Laptop</t>
  </si>
  <si>
    <t>Delivered</t>
  </si>
  <si>
    <t>O102</t>
  </si>
  <si>
    <t>Neha</t>
  </si>
  <si>
    <t>Mouse</t>
  </si>
  <si>
    <t>Pending</t>
  </si>
  <si>
    <t>O103</t>
  </si>
  <si>
    <t>Ravi</t>
  </si>
  <si>
    <t>Keyboard</t>
  </si>
  <si>
    <t>O104</t>
  </si>
  <si>
    <t>Priya</t>
  </si>
  <si>
    <t>Monitor</t>
  </si>
  <si>
    <t>Cancelled</t>
  </si>
  <si>
    <t>Patient ID</t>
  </si>
  <si>
    <t>Name</t>
  </si>
  <si>
    <t>Age</t>
  </si>
  <si>
    <t>Gender</t>
  </si>
  <si>
    <t>Blood Group</t>
  </si>
  <si>
    <t>Age Category</t>
  </si>
  <si>
    <t>Formatted Name</t>
  </si>
  <si>
    <t>P101</t>
  </si>
  <si>
    <t>rahul</t>
  </si>
  <si>
    <t>Male</t>
  </si>
  <si>
    <t>A+</t>
  </si>
  <si>
    <t>P102</t>
  </si>
  <si>
    <t>SNEHA</t>
  </si>
  <si>
    <t>Female</t>
  </si>
  <si>
    <t>O-</t>
  </si>
  <si>
    <t>P103</t>
  </si>
  <si>
    <t>ravi</t>
  </si>
  <si>
    <t>B+</t>
  </si>
  <si>
    <t>P104</t>
  </si>
  <si>
    <t>meera</t>
  </si>
  <si>
    <t>AB+</t>
  </si>
  <si>
    <t>Movie</t>
  </si>
  <si>
    <t>Seats</t>
  </si>
  <si>
    <t>Ticket Price</t>
  </si>
  <si>
    <t>Total Bill</t>
  </si>
  <si>
    <t>Booking Status</t>
  </si>
  <si>
    <t>Booking ID</t>
  </si>
  <si>
    <t>Avengers</t>
  </si>
  <si>
    <t>Superman</t>
  </si>
  <si>
    <t>Avatar</t>
  </si>
  <si>
    <t>Jurassic World</t>
  </si>
  <si>
    <t>Book ID</t>
  </si>
  <si>
    <t>Book Name</t>
  </si>
  <si>
    <t>Issue Date</t>
  </si>
  <si>
    <t>Return Date</t>
  </si>
  <si>
    <t>Return Status</t>
  </si>
  <si>
    <t>First Word</t>
  </si>
  <si>
    <t>Library Code</t>
  </si>
  <si>
    <t>B101</t>
  </si>
  <si>
    <t>Python Programming</t>
  </si>
  <si>
    <t>B102</t>
  </si>
  <si>
    <t>Java Basics</t>
  </si>
  <si>
    <t>B103</t>
  </si>
  <si>
    <t>SQL Guide</t>
  </si>
  <si>
    <t>Table</t>
  </si>
  <si>
    <t>Food Item</t>
  </si>
  <si>
    <t>Price</t>
  </si>
  <si>
    <t>Invoice Number</t>
  </si>
  <si>
    <t>Formatted Food Item</t>
  </si>
  <si>
    <t>T1</t>
  </si>
  <si>
    <t>Pizza</t>
  </si>
  <si>
    <t>T2</t>
  </si>
  <si>
    <t>Burger</t>
  </si>
  <si>
    <t>T3</t>
  </si>
  <si>
    <t>Pasta</t>
  </si>
  <si>
    <t>T4</t>
  </si>
  <si>
    <t>Passenger</t>
  </si>
  <si>
    <t>Passport No</t>
  </si>
  <si>
    <t>Destination</t>
  </si>
  <si>
    <t>First Name</t>
  </si>
  <si>
    <t>Last Name</t>
  </si>
  <si>
    <t>Email ID</t>
  </si>
  <si>
    <t>Passport Prefix</t>
  </si>
  <si>
    <t>Boarding Code</t>
  </si>
  <si>
    <t>Amit Shah</t>
  </si>
  <si>
    <t>M123456</t>
  </si>
  <si>
    <t>Dubai</t>
  </si>
  <si>
    <t>Ravi Patel</t>
  </si>
  <si>
    <t>N654321</t>
  </si>
  <si>
    <t>Singapore</t>
  </si>
  <si>
    <t>Neha Joshi</t>
  </si>
  <si>
    <t>P987654</t>
  </si>
  <si>
    <t>London</t>
  </si>
  <si>
    <t>Player</t>
  </si>
  <si>
    <t>Runs</t>
  </si>
  <si>
    <t>Matches</t>
  </si>
  <si>
    <t>Average Runs</t>
  </si>
  <si>
    <t>Performance</t>
  </si>
  <si>
    <t>Player Code</t>
  </si>
  <si>
    <t>Virat</t>
  </si>
  <si>
    <t>Rohit</t>
  </si>
  <si>
    <t>Gill</t>
  </si>
  <si>
    <t>SKY</t>
  </si>
  <si>
    <t>Member</t>
  </si>
  <si>
    <t>Membership</t>
  </si>
  <si>
    <t>Fee</t>
  </si>
  <si>
    <t>Membership ID</t>
  </si>
  <si>
    <t>amit</t>
  </si>
  <si>
    <t>Gold</t>
  </si>
  <si>
    <t>Silver</t>
  </si>
  <si>
    <t>neha</t>
  </si>
  <si>
    <t>Platinum</t>
  </si>
  <si>
    <t>priya</t>
  </si>
  <si>
    <t>Student</t>
  </si>
  <si>
    <t>Course</t>
  </si>
  <si>
    <t>Payment Status</t>
  </si>
  <si>
    <t>Enrollment Status</t>
  </si>
  <si>
    <t>Student Code</t>
  </si>
  <si>
    <t>Course Info</t>
  </si>
  <si>
    <t>Excel</t>
  </si>
  <si>
    <t>Paid</t>
  </si>
  <si>
    <t>SQL</t>
  </si>
  <si>
    <t>Power BI</t>
  </si>
  <si>
    <t>Python</t>
  </si>
  <si>
    <t>Candidate</t>
  </si>
  <si>
    <t>Experience</t>
  </si>
  <si>
    <t>Test Score</t>
  </si>
  <si>
    <t>Interview</t>
  </si>
  <si>
    <t>Final Result</t>
  </si>
  <si>
    <t>Candidate ID</t>
  </si>
  <si>
    <t>Interview Formatted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</si>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</sst>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#,##0"/>
    <numFmt numFmtId="166" formatCode="dd\-m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4F6228"/>
        <bgColor rgb="FF4F6228"/>
      </patternFill>
    </fill>
    <fill>
      <patternFill patternType="solid">
        <fgColor rgb="FF953735"/>
        <bgColor rgb="FF953735"/>
      </patternFill>
    </fill>
    <fill>
      <patternFill patternType="solid">
        <fgColor rgb="FF31859C"/>
        <bgColor rgb="FF31859C"/>
      </patternFill>
    </fill>
    <fill>
      <patternFill patternType="solid">
        <fgColor rgb="FFE36C0A"/>
        <bgColor rgb="FFE36C0A"/>
      </patternFill>
    </fill>
    <fill>
      <patternFill patternType="solid">
        <fgColor rgb="FF60497A"/>
        <bgColor rgb="FF60497A"/>
      </patternFill>
    </fill>
    <fill>
      <patternFill patternType="solid">
        <fgColor rgb="FF00B050"/>
        <bgColor rgb="FF00B050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C0504D"/>
        <bgColor rgb="FFC0504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/>
  </sheetViews>
  <sheetFormatPr defaultRowHeight="14.4" x14ac:dyDescent="0.3"/>
  <cols>
    <col min="1" max="3" width="11" customWidth="1"/>
    <col min="4" max="4" width="6" customWidth="1"/>
    <col min="5" max="5" width="13" customWidth="1"/>
    <col min="6" max="6" width="12" customWidth="1"/>
    <col min="7" max="7" width="15" customWidth="1"/>
    <col min="8" max="8" width="4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3">
        <v>2</v>
      </c>
      <c r="E2" s="4">
        <v>45000</v>
      </c>
      <c r="F2" s="2" t="s">
        <v>11</v>
      </c>
      <c r="G2" s="5">
        <f>D2*E2</f>
        <v>90000</v>
      </c>
      <c r="H2" s="2" t="str">
        <f>IF(G2&gt;50000, "High Value", "Normal")</f>
        <v>High Value</v>
      </c>
    </row>
    <row r="3" spans="1:8" x14ac:dyDescent="0.3">
      <c r="A3" s="2" t="s">
        <v>12</v>
      </c>
      <c r="B3" s="2" t="s">
        <v>13</v>
      </c>
      <c r="C3" s="2" t="s">
        <v>14</v>
      </c>
      <c r="D3" s="3">
        <v>5</v>
      </c>
      <c r="E3" s="4">
        <v>700</v>
      </c>
      <c r="F3" s="2" t="s">
        <v>15</v>
      </c>
      <c r="G3" s="5">
        <f>D3*E3</f>
        <v>3500</v>
      </c>
      <c r="H3" s="2" t="str">
        <f>IF(G3&gt;50000, "High Value", "Normal")</f>
        <v>Normal</v>
      </c>
    </row>
    <row r="4" spans="1:8" x14ac:dyDescent="0.3">
      <c r="A4" s="2" t="s">
        <v>16</v>
      </c>
      <c r="B4" s="2" t="s">
        <v>17</v>
      </c>
      <c r="C4" s="2" t="s">
        <v>18</v>
      </c>
      <c r="D4" s="3">
        <v>3</v>
      </c>
      <c r="E4" s="4">
        <v>1500</v>
      </c>
      <c r="F4" s="2" t="s">
        <v>11</v>
      </c>
      <c r="G4" s="5">
        <f>D4*E4</f>
        <v>4500</v>
      </c>
      <c r="H4" s="2" t="str">
        <f>IF(G4&gt;50000, "High Value", "Normal")</f>
        <v>Normal</v>
      </c>
    </row>
    <row r="5" spans="1:8" x14ac:dyDescent="0.3">
      <c r="A5" s="2" t="s">
        <v>19</v>
      </c>
      <c r="B5" s="2" t="s">
        <v>20</v>
      </c>
      <c r="C5" s="2" t="s">
        <v>21</v>
      </c>
      <c r="D5" s="3">
        <v>1</v>
      </c>
      <c r="E5" s="4">
        <v>18000</v>
      </c>
      <c r="F5" s="2" t="s">
        <v>22</v>
      </c>
      <c r="G5" s="5">
        <f>D5*E5</f>
        <v>18000</v>
      </c>
      <c r="H5" s="2" t="str">
        <f>IF(G5&gt;50000, "High Value", "Normal")</f>
        <v>Normal</v>
      </c>
    </row>
  </sheetData>
  <conditionalFormatting sqref="F2:F5">
    <cfRule type="cellIs" dxfId="10" priority="1" operator="equal">
      <formula>"Cancelled"</formula>
    </cfRule>
  </conditionalFormatting>
  <conditionalFormatting sqref="G2:G5">
    <cfRule type="cellIs" dxfId="9" priority="2" operator="greaterThan">
      <formula>50000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4.4" x14ac:dyDescent="0.3"/>
  <cols>
    <col min="1" max="1" width="13" customWidth="1"/>
    <col min="2" max="2" width="8" customWidth="1"/>
    <col min="3" max="3" width="6" customWidth="1"/>
    <col min="4" max="4" width="9" customWidth="1"/>
    <col min="5" max="5" width="14" customWidth="1"/>
    <col min="6" max="6" width="61" customWidth="1"/>
    <col min="7" max="7" width="17" customWidth="1"/>
  </cols>
  <sheetData>
    <row r="1" spans="1:7" x14ac:dyDescent="0.3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x14ac:dyDescent="0.3">
      <c r="A2" s="2" t="s">
        <v>30</v>
      </c>
      <c r="B2" s="2" t="s">
        <v>31</v>
      </c>
      <c r="C2" s="3">
        <v>25</v>
      </c>
      <c r="D2" s="2" t="s">
        <v>32</v>
      </c>
      <c r="E2" s="2" t="s">
        <v>33</v>
      </c>
      <c r="F2" s="2" t="str">
        <f>IF(C2&lt;18, "Minor", IF(C2&gt;=60, "Senior Citizen", "Adult"))</f>
        <v>Adult</v>
      </c>
      <c r="G2" s="2" t="str">
        <f>PROPER(B2)</f>
        <v>Rahul</v>
      </c>
    </row>
    <row r="3" spans="1:7" x14ac:dyDescent="0.3">
      <c r="A3" s="2" t="s">
        <v>34</v>
      </c>
      <c r="B3" s="2" t="s">
        <v>35</v>
      </c>
      <c r="C3" s="3">
        <v>62</v>
      </c>
      <c r="D3" s="2" t="s">
        <v>36</v>
      </c>
      <c r="E3" s="2" t="s">
        <v>37</v>
      </c>
      <c r="F3" s="2" t="str">
        <f>IF(C3&lt;18, "Minor", IF(C3&gt;=60, "Senior Citizen", "Adult"))</f>
        <v>Senior Citizen</v>
      </c>
      <c r="G3" s="2" t="str">
        <f>PROPER(B3)</f>
        <v>Sneha</v>
      </c>
    </row>
    <row r="4" spans="1:7" x14ac:dyDescent="0.3">
      <c r="A4" s="2" t="s">
        <v>38</v>
      </c>
      <c r="B4" s="2" t="s">
        <v>39</v>
      </c>
      <c r="C4" s="3">
        <v>70</v>
      </c>
      <c r="D4" s="2" t="s">
        <v>32</v>
      </c>
      <c r="E4" s="2" t="s">
        <v>40</v>
      </c>
      <c r="F4" s="2" t="str">
        <f>IF(C4&lt;18, "Minor", IF(C4&gt;=60, "Senior Citizen", "Adult"))</f>
        <v>Senior Citizen</v>
      </c>
      <c r="G4" s="2" t="str">
        <f>PROPER(B4)</f>
        <v>Ravi</v>
      </c>
    </row>
    <row r="5" spans="1:7" x14ac:dyDescent="0.3">
      <c r="A5" s="2" t="s">
        <v>41</v>
      </c>
      <c r="B5" s="2" t="s">
        <v>42</v>
      </c>
      <c r="C5" s="3">
        <v>15</v>
      </c>
      <c r="D5" s="2" t="s">
        <v>36</v>
      </c>
      <c r="E5" s="2" t="s">
        <v>43</v>
      </c>
      <c r="F5" s="2" t="str">
        <f>IF(C5&lt;18, "Minor", IF(C5&gt;=60, "Senior Citizen", "Adult"))</f>
        <v>Minor</v>
      </c>
      <c r="G5" s="2" t="str">
        <f>PROPER(B5)</f>
        <v>Meera</v>
      </c>
    </row>
  </sheetData>
  <conditionalFormatting sqref="C2:C5">
    <cfRule type="cellIs" dxfId="8" priority="1" operator="greaterThanOrEqual">
      <formula>60</formula>
    </cfRule>
    <cfRule type="cellIs" dxfId="7" priority="2" operator="lessThan">
      <formula>18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4.4" x14ac:dyDescent="0.3"/>
  <cols>
    <col min="1" max="1" width="11" customWidth="1"/>
    <col min="2" max="2" width="17" customWidth="1"/>
    <col min="3" max="3" width="8" customWidth="1"/>
    <col min="4" max="4" width="15" customWidth="1"/>
    <col min="5" max="5" width="13" customWidth="1"/>
    <col min="6" max="6" width="55" customWidth="1"/>
    <col min="7" max="7" width="28" customWidth="1"/>
  </cols>
  <sheetData>
    <row r="1" spans="1:7" x14ac:dyDescent="0.3">
      <c r="A1" s="7" t="s">
        <v>1</v>
      </c>
      <c r="B1" s="7" t="s">
        <v>44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</row>
    <row r="2" spans="1:7" x14ac:dyDescent="0.3">
      <c r="A2" s="2" t="s">
        <v>9</v>
      </c>
      <c r="B2" s="2" t="s">
        <v>50</v>
      </c>
      <c r="C2" s="3">
        <v>2</v>
      </c>
      <c r="D2" s="4">
        <v>350</v>
      </c>
      <c r="E2" s="5">
        <f>C2*D2</f>
        <v>700</v>
      </c>
      <c r="F2" s="2" t="str">
        <f>IF(E2&gt;1000, "Discount Eligible", "Regular Booking")</f>
        <v>Regular Booking</v>
      </c>
      <c r="G2" s="2" t="str">
        <f>UPPER(LEFT(A2,2))&amp;"-"&amp;C2</f>
        <v>AM-2</v>
      </c>
    </row>
    <row r="3" spans="1:7" x14ac:dyDescent="0.3">
      <c r="A3" s="2" t="s">
        <v>17</v>
      </c>
      <c r="B3" s="2" t="s">
        <v>51</v>
      </c>
      <c r="C3" s="3">
        <v>5</v>
      </c>
      <c r="D3" s="4">
        <v>280</v>
      </c>
      <c r="E3" s="5">
        <f>C3*D3</f>
        <v>1400</v>
      </c>
      <c r="F3" s="2" t="str">
        <f>IF(E3&gt;1000, "Discount Eligible", "Regular Booking")</f>
        <v>Discount Eligible</v>
      </c>
      <c r="G3" s="2" t="str">
        <f>UPPER(LEFT(A3,2))&amp;"-"&amp;C3</f>
        <v>RA-5</v>
      </c>
    </row>
    <row r="4" spans="1:7" x14ac:dyDescent="0.3">
      <c r="A4" s="2" t="s">
        <v>13</v>
      </c>
      <c r="B4" s="2" t="s">
        <v>52</v>
      </c>
      <c r="C4" s="3">
        <v>3</v>
      </c>
      <c r="D4" s="4">
        <v>400</v>
      </c>
      <c r="E4" s="5">
        <f>C4*D4</f>
        <v>1200</v>
      </c>
      <c r="F4" s="2" t="str">
        <f>IF(E4&gt;1000, "Discount Eligible", "Regular Booking")</f>
        <v>Discount Eligible</v>
      </c>
      <c r="G4" s="2" t="str">
        <f>UPPER(LEFT(A4,2))&amp;"-"&amp;C4</f>
        <v>NE-3</v>
      </c>
    </row>
    <row r="5" spans="1:7" x14ac:dyDescent="0.3">
      <c r="A5" s="2" t="s">
        <v>20</v>
      </c>
      <c r="B5" s="2" t="s">
        <v>53</v>
      </c>
      <c r="C5" s="3">
        <v>1</v>
      </c>
      <c r="D5" s="4">
        <v>500</v>
      </c>
      <c r="E5" s="5">
        <f>C5*D5</f>
        <v>500</v>
      </c>
      <c r="F5" s="2" t="str">
        <f>IF(E5&gt;1000, "Discount Eligible", "Regular Booking")</f>
        <v>Regular Booking</v>
      </c>
      <c r="G5" s="2" t="str">
        <f>UPPER(LEFT(A5,2))&amp;"-"&amp;C5</f>
        <v>PR-1</v>
      </c>
    </row>
  </sheetData>
  <conditionalFormatting sqref="E2:E5">
    <cfRule type="cellIs" dxfId="6" priority="1" operator="greaterThan">
      <formula>1000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E4" sqref="E4"/>
    </sheetView>
  </sheetViews>
  <sheetFormatPr defaultRowHeight="14.4" x14ac:dyDescent="0.3"/>
  <cols>
    <col min="1" max="1" width="10" customWidth="1"/>
    <col min="2" max="2" width="21" customWidth="1"/>
    <col min="3" max="3" width="13" customWidth="1"/>
    <col min="4" max="4" width="14" customWidth="1"/>
    <col min="5" max="5" width="52" customWidth="1"/>
    <col min="6" max="6" width="29" customWidth="1"/>
    <col min="7" max="7" width="15" customWidth="1"/>
  </cols>
  <sheetData>
    <row r="1" spans="1:7" x14ac:dyDescent="0.3">
      <c r="A1" s="8" t="s">
        <v>54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60</v>
      </c>
    </row>
    <row r="2" spans="1:7" x14ac:dyDescent="0.3">
      <c r="A2" s="2" t="s">
        <v>61</v>
      </c>
      <c r="B2" s="2" t="s">
        <v>62</v>
      </c>
      <c r="C2" s="9">
        <v>45474</v>
      </c>
      <c r="D2" s="9">
        <v>45481</v>
      </c>
      <c r="E2" s="2" t="str">
        <f>IF((D2-C2)&gt;7, "Late Return", "Returned On Time")</f>
        <v>Returned On Time</v>
      </c>
      <c r="F2" s="2" t="str">
        <f>LEFT(B2, FIND(" ", B2)-1)</f>
        <v>Python</v>
      </c>
      <c r="G2" s="2" t="str">
        <f>A2&amp;"-"&amp;F2</f>
        <v>B101-Python</v>
      </c>
    </row>
    <row r="3" spans="1:7" x14ac:dyDescent="0.3">
      <c r="A3" s="2" t="s">
        <v>63</v>
      </c>
      <c r="B3" s="2" t="s">
        <v>64</v>
      </c>
      <c r="C3" s="9">
        <v>45475</v>
      </c>
      <c r="D3" s="9">
        <v>45491</v>
      </c>
      <c r="E3" s="2" t="str">
        <f>IF((D3-C3)&gt;7, "Late Return", "Returned On Time")</f>
        <v>Late Return</v>
      </c>
      <c r="F3" s="2" t="str">
        <f>LEFT(B3, FIND(" ", B3)-1)</f>
        <v>Java</v>
      </c>
      <c r="G3" s="2" t="str">
        <f>A3&amp;"-"&amp;F3</f>
        <v>B102-Java</v>
      </c>
    </row>
    <row r="4" spans="1:7" x14ac:dyDescent="0.3">
      <c r="A4" s="2" t="s">
        <v>65</v>
      </c>
      <c r="B4" s="2" t="s">
        <v>66</v>
      </c>
      <c r="C4" s="9">
        <v>45478</v>
      </c>
      <c r="D4" s="9">
        <v>45485</v>
      </c>
      <c r="E4" s="2" t="str">
        <f>IF((D4-C4)&gt;7, "Late Return", "Returned On Time")</f>
        <v>Returned On Time</v>
      </c>
      <c r="F4" s="2" t="str">
        <f>LEFT(B4, FIND(" ", B4)-1)</f>
        <v>SQL</v>
      </c>
      <c r="G4" s="2" t="str">
        <f>A4&amp;"-"&amp;F4</f>
        <v>B103-SQL</v>
      </c>
    </row>
  </sheetData>
  <conditionalFormatting sqref="E2:E4">
    <cfRule type="cellIs" dxfId="5" priority="1" operator="equal">
      <formula>"Late Return"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defaultRowHeight="14.4" x14ac:dyDescent="0.3"/>
  <cols>
    <col min="1" max="1" width="8" customWidth="1"/>
    <col min="2" max="2" width="11" customWidth="1"/>
    <col min="3" max="3" width="12" customWidth="1"/>
    <col min="4" max="4" width="6" customWidth="1"/>
    <col min="5" max="5" width="8" customWidth="1"/>
    <col min="6" max="6" width="13" customWidth="1"/>
    <col min="7" max="7" width="20" customWidth="1"/>
    <col min="8" max="8" width="22" customWidth="1"/>
  </cols>
  <sheetData>
    <row r="1" spans="1:8" x14ac:dyDescent="0.3">
      <c r="A1" s="10" t="s">
        <v>67</v>
      </c>
      <c r="B1" s="10" t="s">
        <v>1</v>
      </c>
      <c r="C1" s="10" t="s">
        <v>68</v>
      </c>
      <c r="D1" s="10" t="s">
        <v>3</v>
      </c>
      <c r="E1" s="10" t="s">
        <v>69</v>
      </c>
      <c r="F1" s="10" t="s">
        <v>47</v>
      </c>
      <c r="G1" s="10" t="s">
        <v>70</v>
      </c>
      <c r="H1" s="10" t="s">
        <v>71</v>
      </c>
    </row>
    <row r="2" spans="1:8" x14ac:dyDescent="0.3">
      <c r="A2" s="2" t="s">
        <v>72</v>
      </c>
      <c r="B2" s="2" t="s">
        <v>9</v>
      </c>
      <c r="C2" s="2" t="s">
        <v>73</v>
      </c>
      <c r="D2" s="3">
        <v>2</v>
      </c>
      <c r="E2" s="4">
        <v>350</v>
      </c>
      <c r="F2" s="5">
        <f>D2*E2</f>
        <v>700</v>
      </c>
      <c r="G2" s="2" t="str">
        <f>A2&amp;"-"&amp;UPPER(B2)</f>
        <v>T1-AMIT</v>
      </c>
      <c r="H2" s="2" t="str">
        <f>UPPER(C2)</f>
        <v>PIZZA</v>
      </c>
    </row>
    <row r="3" spans="1:8" x14ac:dyDescent="0.3">
      <c r="A3" s="2" t="s">
        <v>74</v>
      </c>
      <c r="B3" s="2" t="s">
        <v>17</v>
      </c>
      <c r="C3" s="2" t="s">
        <v>75</v>
      </c>
      <c r="D3" s="3">
        <v>3</v>
      </c>
      <c r="E3" s="4">
        <v>180</v>
      </c>
      <c r="F3" s="5">
        <f>D3*E3</f>
        <v>540</v>
      </c>
      <c r="G3" s="2" t="str">
        <f>A3&amp;"-"&amp;UPPER(B3)</f>
        <v>T2-RAVI</v>
      </c>
      <c r="H3" s="2" t="str">
        <f>UPPER(C3)</f>
        <v>BURGER</v>
      </c>
    </row>
    <row r="4" spans="1:8" x14ac:dyDescent="0.3">
      <c r="A4" s="2" t="s">
        <v>76</v>
      </c>
      <c r="B4" s="2" t="s">
        <v>20</v>
      </c>
      <c r="C4" s="2" t="s">
        <v>77</v>
      </c>
      <c r="D4" s="3">
        <v>1</v>
      </c>
      <c r="E4" s="4">
        <v>280</v>
      </c>
      <c r="F4" s="5">
        <f>D4*E4</f>
        <v>280</v>
      </c>
      <c r="G4" s="2" t="str">
        <f>A4&amp;"-"&amp;UPPER(B4)</f>
        <v>T3-PRIYA</v>
      </c>
      <c r="H4" s="2" t="str">
        <f>UPPER(C4)</f>
        <v>PASTA</v>
      </c>
    </row>
    <row r="5" spans="1:8" x14ac:dyDescent="0.3">
      <c r="A5" s="2" t="s">
        <v>78</v>
      </c>
      <c r="B5" s="2" t="s">
        <v>13</v>
      </c>
      <c r="C5" s="2" t="s">
        <v>73</v>
      </c>
      <c r="D5" s="3">
        <v>4</v>
      </c>
      <c r="E5" s="4">
        <v>350</v>
      </c>
      <c r="F5" s="5">
        <f>D5*E5</f>
        <v>1400</v>
      </c>
      <c r="G5" s="2" t="str">
        <f>A5&amp;"-"&amp;UPPER(B5)</f>
        <v>T4-NEHA</v>
      </c>
      <c r="H5" s="2" t="str">
        <f>UPPER(C5)</f>
        <v>PIZZA</v>
      </c>
    </row>
  </sheetData>
  <conditionalFormatting sqref="F2:F5">
    <cfRule type="cellIs" dxfId="4" priority="1" operator="greaterThan">
      <formula>1000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RowHeight="14.4" x14ac:dyDescent="0.3"/>
  <cols>
    <col min="1" max="1" width="13" customWidth="1"/>
    <col min="2" max="3" width="14" customWidth="1"/>
    <col min="4" max="4" width="29" customWidth="1"/>
    <col min="5" max="5" width="33" customWidth="1"/>
    <col min="6" max="6" width="42" customWidth="1"/>
    <col min="7" max="7" width="18" customWidth="1"/>
    <col min="8" max="8" width="29" customWidth="1"/>
  </cols>
  <sheetData>
    <row r="1" spans="1:8" x14ac:dyDescent="0.3">
      <c r="A1" s="11" t="s">
        <v>79</v>
      </c>
      <c r="B1" s="11" t="s">
        <v>80</v>
      </c>
      <c r="C1" s="11" t="s">
        <v>81</v>
      </c>
      <c r="D1" s="11" t="s">
        <v>82</v>
      </c>
      <c r="E1" s="11" t="s">
        <v>83</v>
      </c>
      <c r="F1" s="11" t="s">
        <v>84</v>
      </c>
      <c r="G1" s="11" t="s">
        <v>85</v>
      </c>
      <c r="H1" s="11" t="s">
        <v>86</v>
      </c>
    </row>
    <row r="2" spans="1:8" x14ac:dyDescent="0.3">
      <c r="A2" s="2" t="s">
        <v>87</v>
      </c>
      <c r="B2" s="2" t="s">
        <v>88</v>
      </c>
      <c r="C2" s="2" t="s">
        <v>89</v>
      </c>
      <c r="D2" s="2" t="str">
        <f>LEFT(A2, FIND(" ", A2)-1)</f>
        <v>Amit</v>
      </c>
      <c r="E2" s="2" t="str">
        <f>MID(A2, FIND(" ", A2)+1, 100)</f>
        <v>Shah</v>
      </c>
      <c r="F2" s="2" t="str">
        <f>LOWER(D2)&amp;"."&amp;LOWER(E2)&amp;"@airport.com"</f>
        <v>amit.shah@airport.com</v>
      </c>
      <c r="G2" s="2" t="str">
        <f>LEFT(B2, 1)</f>
        <v>M</v>
      </c>
      <c r="H2" s="2" t="str">
        <f>UPPER(LEFT(C2, 3))&amp;"-"&amp;B2</f>
        <v>DUB-M123456</v>
      </c>
    </row>
    <row r="3" spans="1:8" x14ac:dyDescent="0.3">
      <c r="A3" s="2" t="s">
        <v>90</v>
      </c>
      <c r="B3" s="2" t="s">
        <v>91</v>
      </c>
      <c r="C3" s="2" t="s">
        <v>92</v>
      </c>
      <c r="D3" s="2" t="str">
        <f>LEFT(A3, FIND(" ", A3)-1)</f>
        <v>Ravi</v>
      </c>
      <c r="E3" s="2" t="str">
        <f>MID(A3, FIND(" ", A3)+1, 100)</f>
        <v>Patel</v>
      </c>
      <c r="F3" s="2" t="str">
        <f>LOWER(D3)&amp;"."&amp;LOWER(E3)&amp;"@airport.com"</f>
        <v>ravi.patel@airport.com</v>
      </c>
      <c r="G3" s="2" t="str">
        <f>LEFT(B3, 1)</f>
        <v>N</v>
      </c>
      <c r="H3" s="2" t="str">
        <f>UPPER(LEFT(C3, 3))&amp;"-"&amp;B3</f>
        <v>SIN-N654321</v>
      </c>
    </row>
    <row r="4" spans="1:8" x14ac:dyDescent="0.3">
      <c r="A4" s="2" t="s">
        <v>93</v>
      </c>
      <c r="B4" s="2" t="s">
        <v>94</v>
      </c>
      <c r="C4" s="2" t="s">
        <v>95</v>
      </c>
      <c r="D4" s="2" t="str">
        <f>LEFT(A4, FIND(" ", A4)-1)</f>
        <v>Neha</v>
      </c>
      <c r="E4" s="2" t="str">
        <f>MID(A4, FIND(" ", A4)+1, 100)</f>
        <v>Joshi</v>
      </c>
      <c r="F4" s="2" t="str">
        <f>LOWER(D4)&amp;"."&amp;LOWER(E4)&amp;"@airport.com"</f>
        <v>neha.joshi@airport.com</v>
      </c>
      <c r="G4" s="2" t="str">
        <f>LEFT(B4, 1)</f>
        <v>P</v>
      </c>
      <c r="H4" s="2" t="str">
        <f>UPPER(LEFT(C4, 3))&amp;"-"&amp;B4</f>
        <v>LON-P987654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/>
  </sheetViews>
  <sheetFormatPr defaultRowHeight="14.4" x14ac:dyDescent="0.3"/>
  <cols>
    <col min="1" max="1" width="9" customWidth="1"/>
    <col min="2" max="2" width="7" customWidth="1"/>
    <col min="3" max="3" width="10" customWidth="1"/>
    <col min="4" max="4" width="15" customWidth="1"/>
    <col min="5" max="5" width="65" customWidth="1"/>
    <col min="6" max="6" width="21" customWidth="1"/>
  </cols>
  <sheetData>
    <row r="1" spans="1:6" x14ac:dyDescent="0.3">
      <c r="A1" s="12" t="s">
        <v>96</v>
      </c>
      <c r="B1" s="12" t="s">
        <v>97</v>
      </c>
      <c r="C1" s="12" t="s">
        <v>98</v>
      </c>
      <c r="D1" s="12" t="s">
        <v>99</v>
      </c>
      <c r="E1" s="12" t="s">
        <v>100</v>
      </c>
      <c r="F1" s="12" t="s">
        <v>101</v>
      </c>
    </row>
    <row r="2" spans="1:6" x14ac:dyDescent="0.3">
      <c r="A2" s="2" t="s">
        <v>102</v>
      </c>
      <c r="B2" s="3">
        <v>450</v>
      </c>
      <c r="C2" s="3">
        <v>8</v>
      </c>
      <c r="D2" s="13">
        <f>B2/C2</f>
        <v>56.25</v>
      </c>
      <c r="E2" s="2" t="str">
        <f>IF(D2&gt;=60, "Excellent", IF(D2&gt;=40, "Good", "Needs Practice"))</f>
        <v>Good</v>
      </c>
      <c r="F2" s="2" t="str">
        <f>UPPER(LEFT(A2,3))</f>
        <v>VIR</v>
      </c>
    </row>
    <row r="3" spans="1:6" x14ac:dyDescent="0.3">
      <c r="A3" s="2" t="s">
        <v>103</v>
      </c>
      <c r="B3" s="3">
        <v>320</v>
      </c>
      <c r="C3" s="3">
        <v>7</v>
      </c>
      <c r="D3" s="13">
        <f>B3/C3</f>
        <v>45.714285714285715</v>
      </c>
      <c r="E3" s="2" t="str">
        <f>IF(D3&gt;=60, "Excellent", IF(D3&gt;=40, "Good", "Needs Practice"))</f>
        <v>Good</v>
      </c>
      <c r="F3" s="2" t="str">
        <f>UPPER(LEFT(A3,3))</f>
        <v>ROH</v>
      </c>
    </row>
    <row r="4" spans="1:6" x14ac:dyDescent="0.3">
      <c r="A4" s="2" t="s">
        <v>104</v>
      </c>
      <c r="B4" s="3">
        <v>520</v>
      </c>
      <c r="C4" s="3">
        <v>9</v>
      </c>
      <c r="D4" s="13">
        <f>B4/C4</f>
        <v>57.777777777777779</v>
      </c>
      <c r="E4" s="2" t="str">
        <f>IF(D4&gt;=60, "Excellent", IF(D4&gt;=40, "Good", "Needs Practice"))</f>
        <v>Good</v>
      </c>
      <c r="F4" s="2" t="str">
        <f>UPPER(LEFT(A4,3))</f>
        <v>GIL</v>
      </c>
    </row>
    <row r="5" spans="1:6" x14ac:dyDescent="0.3">
      <c r="A5" s="2" t="s">
        <v>105</v>
      </c>
      <c r="B5" s="3">
        <v>280</v>
      </c>
      <c r="C5" s="3">
        <v>6</v>
      </c>
      <c r="D5" s="13">
        <f>B5/C5</f>
        <v>46.666666666666664</v>
      </c>
      <c r="E5" s="2" t="str">
        <f>IF(D5&gt;=60, "Excellent", IF(D5&gt;=40, "Good", "Needs Practice"))</f>
        <v>Good</v>
      </c>
      <c r="F5" s="2" t="str">
        <f>UPPER(LEFT(A5,3))</f>
        <v>SKY</v>
      </c>
    </row>
  </sheetData>
  <conditionalFormatting sqref="B2:B5">
    <cfRule type="expression" dxfId="3" priority="1">
      <formula>B2=MAX($B$2:$B$5)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workbookViewId="0"/>
  </sheetViews>
  <sheetFormatPr defaultRowHeight="14.4" x14ac:dyDescent="0.3"/>
  <cols>
    <col min="1" max="1" width="9" customWidth="1"/>
    <col min="2" max="2" width="6" customWidth="1"/>
    <col min="3" max="3" width="13" customWidth="1"/>
    <col min="4" max="4" width="7" customWidth="1"/>
    <col min="5" max="5" width="33" customWidth="1"/>
    <col min="6" max="6" width="35" customWidth="1"/>
    <col min="7" max="7" width="17" customWidth="1"/>
  </cols>
  <sheetData>
    <row r="1" spans="1:7" x14ac:dyDescent="0.3">
      <c r="A1" s="14" t="s">
        <v>106</v>
      </c>
      <c r="B1" s="14" t="s">
        <v>25</v>
      </c>
      <c r="C1" s="14" t="s">
        <v>107</v>
      </c>
      <c r="D1" s="14" t="s">
        <v>108</v>
      </c>
      <c r="E1" s="14" t="s">
        <v>28</v>
      </c>
      <c r="F1" s="14" t="s">
        <v>109</v>
      </c>
      <c r="G1" s="14" t="s">
        <v>29</v>
      </c>
    </row>
    <row r="2" spans="1:7" x14ac:dyDescent="0.3">
      <c r="A2" s="2" t="s">
        <v>110</v>
      </c>
      <c r="B2" s="3">
        <v>22</v>
      </c>
      <c r="C2" s="2" t="s">
        <v>111</v>
      </c>
      <c r="D2" s="4">
        <v>2500</v>
      </c>
      <c r="E2" s="2" t="str">
        <f>IF(B2&gt;=60, "Senior", "Adult")</f>
        <v>Adult</v>
      </c>
      <c r="F2" s="2" t="str">
        <f>UPPER(LEFT(C2,2))&amp;"-"&amp;UPPER(A2)</f>
        <v>GO-AMIT</v>
      </c>
      <c r="G2" s="2" t="str">
        <f>PROPER(A2)</f>
        <v>Amit</v>
      </c>
    </row>
    <row r="3" spans="1:7" x14ac:dyDescent="0.3">
      <c r="A3" s="2" t="s">
        <v>39</v>
      </c>
      <c r="B3" s="3">
        <v>45</v>
      </c>
      <c r="C3" s="2" t="s">
        <v>112</v>
      </c>
      <c r="D3" s="4">
        <v>1800</v>
      </c>
      <c r="E3" s="2" t="str">
        <f>IF(B3&gt;=60, "Senior", "Adult")</f>
        <v>Adult</v>
      </c>
      <c r="F3" s="2" t="str">
        <f>UPPER(LEFT(C3,2))&amp;"-"&amp;UPPER(A3)</f>
        <v>SI-RAVI</v>
      </c>
      <c r="G3" s="2" t="str">
        <f>PROPER(A3)</f>
        <v>Ravi</v>
      </c>
    </row>
    <row r="4" spans="1:7" x14ac:dyDescent="0.3">
      <c r="A4" s="2" t="s">
        <v>113</v>
      </c>
      <c r="B4" s="3">
        <v>31</v>
      </c>
      <c r="C4" s="2" t="s">
        <v>114</v>
      </c>
      <c r="D4" s="4">
        <v>4000</v>
      </c>
      <c r="E4" s="2" t="str">
        <f>IF(B4&gt;=60, "Senior", "Adult")</f>
        <v>Adult</v>
      </c>
      <c r="F4" s="2" t="str">
        <f>UPPER(LEFT(C4,2))&amp;"-"&amp;UPPER(A4)</f>
        <v>PL-NEHA</v>
      </c>
      <c r="G4" s="2" t="str">
        <f>PROPER(A4)</f>
        <v>Neha</v>
      </c>
    </row>
    <row r="5" spans="1:7" x14ac:dyDescent="0.3">
      <c r="A5" s="2" t="s">
        <v>115</v>
      </c>
      <c r="B5" s="3">
        <v>26</v>
      </c>
      <c r="C5" s="2" t="s">
        <v>111</v>
      </c>
      <c r="D5" s="4">
        <v>2500</v>
      </c>
      <c r="E5" s="2" t="str">
        <f>IF(B5&gt;=60, "Senior", "Adult")</f>
        <v>Adult</v>
      </c>
      <c r="F5" s="2" t="str">
        <f>UPPER(LEFT(C5,2))&amp;"-"&amp;UPPER(A5)</f>
        <v>GO-PRIYA</v>
      </c>
      <c r="G5" s="2" t="str">
        <f>PROPER(A5)</f>
        <v>Priya</v>
      </c>
    </row>
  </sheetData>
  <conditionalFormatting sqref="C2:C5">
    <cfRule type="cellIs" dxfId="2" priority="1" operator="equal">
      <formula>"Platinum"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workbookViewId="0"/>
  </sheetViews>
  <sheetFormatPr defaultRowHeight="14.4" x14ac:dyDescent="0.3"/>
  <cols>
    <col min="1" max="1" width="10" customWidth="1"/>
    <col min="2" max="2" width="11" customWidth="1"/>
    <col min="3" max="3" width="7" customWidth="1"/>
    <col min="4" max="4" width="17" customWidth="1"/>
    <col min="5" max="5" width="39" customWidth="1"/>
    <col min="6" max="6" width="35" customWidth="1"/>
    <col min="7" max="7" width="15" customWidth="1"/>
  </cols>
  <sheetData>
    <row r="1" spans="1:7" x14ac:dyDescent="0.3">
      <c r="A1" s="15" t="s">
        <v>116</v>
      </c>
      <c r="B1" s="15" t="s">
        <v>117</v>
      </c>
      <c r="C1" s="15" t="s">
        <v>108</v>
      </c>
      <c r="D1" s="15" t="s">
        <v>118</v>
      </c>
      <c r="E1" s="15" t="s">
        <v>119</v>
      </c>
      <c r="F1" s="15" t="s">
        <v>120</v>
      </c>
      <c r="G1" s="15" t="s">
        <v>121</v>
      </c>
    </row>
    <row r="2" spans="1:7" x14ac:dyDescent="0.3">
      <c r="A2" s="2" t="s">
        <v>9</v>
      </c>
      <c r="B2" s="2" t="s">
        <v>122</v>
      </c>
      <c r="C2" s="4">
        <v>5000</v>
      </c>
      <c r="D2" s="2" t="s">
        <v>123</v>
      </c>
      <c r="E2" s="2" t="str">
        <f>IF(D2="Paid", "Active", "Inactive")</f>
        <v>Active</v>
      </c>
      <c r="F2" s="2" t="str">
        <f>UPPER(LEFT(B2,2))&amp;"-"&amp;UPPER(A2)</f>
        <v>EX-AMIT</v>
      </c>
      <c r="G2" s="2" t="str">
        <f>B2&amp;" - "&amp;A2</f>
        <v>Excel - Amit</v>
      </c>
    </row>
    <row r="3" spans="1:7" x14ac:dyDescent="0.3">
      <c r="A3" s="2" t="s">
        <v>17</v>
      </c>
      <c r="B3" s="2" t="s">
        <v>124</v>
      </c>
      <c r="C3" s="4">
        <v>6000</v>
      </c>
      <c r="D3" s="2" t="s">
        <v>15</v>
      </c>
      <c r="E3" s="2" t="str">
        <f>IF(D3="Paid", "Active", "Inactive")</f>
        <v>Inactive</v>
      </c>
      <c r="F3" s="2" t="str">
        <f>UPPER(LEFT(B3,2))&amp;"-"&amp;UPPER(A3)</f>
        <v>SQ-RAVI</v>
      </c>
      <c r="G3" s="2" t="str">
        <f>B3&amp;" - "&amp;A3</f>
        <v>SQL - Ravi</v>
      </c>
    </row>
    <row r="4" spans="1:7" x14ac:dyDescent="0.3">
      <c r="A4" s="2" t="s">
        <v>20</v>
      </c>
      <c r="B4" s="2" t="s">
        <v>125</v>
      </c>
      <c r="C4" s="4">
        <v>7000</v>
      </c>
      <c r="D4" s="2" t="s">
        <v>123</v>
      </c>
      <c r="E4" s="2" t="str">
        <f>IF(D4="Paid", "Active", "Inactive")</f>
        <v>Active</v>
      </c>
      <c r="F4" s="2" t="str">
        <f>UPPER(LEFT(B4,2))&amp;"-"&amp;UPPER(A4)</f>
        <v>PO-PRIYA</v>
      </c>
      <c r="G4" s="2" t="str">
        <f>B4&amp;" - "&amp;A4</f>
        <v>Power BI - Priya</v>
      </c>
    </row>
    <row r="5" spans="1:7" x14ac:dyDescent="0.3">
      <c r="A5" s="2" t="s">
        <v>13</v>
      </c>
      <c r="B5" s="2" t="s">
        <v>126</v>
      </c>
      <c r="C5" s="4">
        <v>8000</v>
      </c>
      <c r="D5" s="2" t="s">
        <v>15</v>
      </c>
      <c r="E5" s="2" t="str">
        <f>IF(D5="Paid", "Active", "Inactive")</f>
        <v>Inactive</v>
      </c>
      <c r="F5" s="2" t="str">
        <f>UPPER(LEFT(B5,2))&amp;"-"&amp;UPPER(A5)</f>
        <v>PY-NEHA</v>
      </c>
      <c r="G5" s="2" t="str">
        <f>B5&amp;" - "&amp;A5</f>
        <v>Python - Neha</v>
      </c>
    </row>
  </sheetData>
  <conditionalFormatting sqref="D2:D5">
    <cfRule type="cellIs" dxfId="1" priority="1" operator="equal">
      <formula>"Pending"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"/>
  <sheetViews>
    <sheetView tabSelected="1" workbookViewId="0"/>
  </sheetViews>
  <sheetFormatPr defaultRowHeight="14.4" x14ac:dyDescent="0.3"/>
  <cols>
    <col min="1" max="1" width="12" customWidth="1"/>
    <col min="2" max="3" width="13" customWidth="1"/>
    <col min="4" max="4" width="12" customWidth="1"/>
    <col min="5" max="5" width="52" customWidth="1"/>
    <col min="6" max="6" width="39" customWidth="1"/>
    <col min="7" max="7" width="22" customWidth="1"/>
  </cols>
  <sheetData>
    <row r="1" spans="1:7" x14ac:dyDescent="0.3">
      <c r="A1" s="16" t="s">
        <v>127</v>
      </c>
      <c r="B1" s="16" t="s">
        <v>128</v>
      </c>
      <c r="C1" s="16" t="s">
        <v>129</v>
      </c>
      <c r="D1" s="16" t="s">
        <v>130</v>
      </c>
      <c r="E1" s="16" t="s">
        <v>131</v>
      </c>
      <c r="F1" s="16" t="s">
        <v>132</v>
      </c>
      <c r="G1" s="16" t="s">
        <v>133</v>
      </c>
    </row>
    <row r="2" spans="1:7" x14ac:dyDescent="0.3">
      <c r="A2" s="2" t="s">
        <v>9</v>
      </c>
      <c r="B2" s="3">
        <v>2</v>
      </c>
      <c r="C2" s="3">
        <v>85</v>
      </c>
      <c r="D2" s="2" t="s">
        <v>134</v>
      </c>
      <c r="E2" s="2" t="str">
        <f>IF(AND(B2&gt;=1, D2="Yes"), "Selected", "Rejected")</f>
        <v>Selected</v>
      </c>
      <c r="F2" s="2" t="str">
        <f>UPPER(LEFT(A2,2))&amp;"-"&amp;TEXT(B2,"00")</f>
        <v>AM-02</v>
      </c>
      <c r="G2" s="2" t="str">
        <f>UPPER(D2)</f>
        <v>YES</v>
      </c>
    </row>
    <row r="3" spans="1:7" x14ac:dyDescent="0.3">
      <c r="A3" s="2" t="s">
        <v>17</v>
      </c>
      <c r="B3" s="3">
        <v>0</v>
      </c>
      <c r="C3" s="3">
        <v>78</v>
      </c>
      <c r="D3" s="2" t="s">
        <v>135</v>
      </c>
      <c r="E3" s="2" t="str">
        <f>IF(AND(B3&gt;=1, D3="Yes"), "Selected", "Rejected")</f>
        <v>Rejected</v>
      </c>
      <c r="F3" s="2" t="str">
        <f>UPPER(LEFT(A3,2))&amp;"-"&amp;TEXT(B3,"00")</f>
        <v>RA-00</v>
      </c>
      <c r="G3" s="2" t="str">
        <f>UPPER(D3)</f>
        <v>NO</v>
      </c>
    </row>
    <row r="4" spans="1:7" x14ac:dyDescent="0.3">
      <c r="A4" s="2" t="s">
        <v>20</v>
      </c>
      <c r="B4" s="3">
        <v>4</v>
      </c>
      <c r="C4" s="3">
        <v>91</v>
      </c>
      <c r="D4" s="2" t="s">
        <v>134</v>
      </c>
      <c r="E4" s="2" t="str">
        <f>IF(AND(B4&gt;=1, D4="Yes"), "Selected", "Rejected")</f>
        <v>Selected</v>
      </c>
      <c r="F4" s="2" t="str">
        <f>UPPER(LEFT(A4,2))&amp;"-"&amp;TEXT(B4,"00")</f>
        <v>PR-04</v>
      </c>
      <c r="G4" s="2" t="str">
        <f>UPPER(D4)</f>
        <v>YES</v>
      </c>
    </row>
    <row r="5" spans="1:7" x14ac:dyDescent="0.3">
      <c r="A5" s="2" t="s">
        <v>13</v>
      </c>
      <c r="B5" s="3">
        <v>1</v>
      </c>
      <c r="C5" s="3">
        <v>68</v>
      </c>
      <c r="D5" s="2" t="s">
        <v>134</v>
      </c>
      <c r="E5" s="2" t="str">
        <f>IF(AND(B5&gt;=1, D5="Yes"), "Selected", "Rejected")</f>
        <v>Selected</v>
      </c>
      <c r="F5" s="2" t="str">
        <f>UPPER(LEFT(A5,2))&amp;"-"&amp;TEXT(B5,"00")</f>
        <v>NE-01</v>
      </c>
      <c r="G5" s="2" t="str">
        <f>UPPER(D5)</f>
        <v>YES</v>
      </c>
    </row>
  </sheetData>
  <conditionalFormatting sqref="C2:C5">
    <cfRule type="cellIs" dxfId="0" priority="1" operator="greaterThan">
      <formula>90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E-Commerce</vt:lpstr>
      <vt:lpstr>2. Hospital</vt:lpstr>
      <vt:lpstr>3. Movie Booking</vt:lpstr>
      <vt:lpstr>4. School Library</vt:lpstr>
      <vt:lpstr>5. Restaurant Billing</vt:lpstr>
      <vt:lpstr>6. Airport Passenger</vt:lpstr>
      <vt:lpstr>7. Cricket Tournament</vt:lpstr>
      <vt:lpstr>8. Gym Membership</vt:lpstr>
      <vt:lpstr>9. Course Enrollment</vt:lpstr>
      <vt:lpstr>10. HR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vanra</cp:lastModifiedBy>
  <dcterms:created xsi:type="dcterms:W3CDTF">2026-07-17T04:30:15Z</dcterms:created>
  <dcterms:modified xsi:type="dcterms:W3CDTF">2026-07-17T04:35:37Z</dcterms:modified>
</cp:coreProperties>
</file>