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DC10\Desktop\"/>
    </mc:Choice>
  </mc:AlternateContent>
  <xr:revisionPtr revIDLastSave="0" documentId="13_ncr:1_{0405F115-45D5-430E-929F-F138E75F41ED}" xr6:coauthVersionLast="47" xr6:coauthVersionMax="47" xr10:uidLastSave="{00000000-0000-0000-0000-000000000000}"/>
  <bookViews>
    <workbookView xWindow="-120" yWindow="-120" windowWidth="20730" windowHeight="11040" activeTab="2" xr2:uid="{2CCA7C14-3C71-4F9A-A6A5-FEBB9C29C67C}"/>
  </bookViews>
  <sheets>
    <sheet name="Pivot Table" sheetId="15" r:id="rId1"/>
    <sheet name="Dashboard" sheetId="16" r:id="rId2"/>
    <sheet name="Dashboaed 2" sheetId="18" r:id="rId3"/>
    <sheet name="sales_data_large" sheetId="3" r:id="rId4"/>
  </sheets>
  <definedNames>
    <definedName name="_xlcn.WorksheetConnection_Book1sales_data_large" hidden="1">sales_data_large[]</definedName>
    <definedName name="ExternalData_1" localSheetId="3" hidden="1">sales_data_large!$A$1:$I$301</definedName>
    <definedName name="Slicer_Category">#N/A</definedName>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15" l="1"/>
  <c r="O5" i="15"/>
  <c r="O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
        </x15:connection>
      </ext>
    </extLst>
  </connection>
</connections>
</file>

<file path=xl/sharedStrings.xml><?xml version="1.0" encoding="utf-8"?>
<sst xmlns="http://schemas.openxmlformats.org/spreadsheetml/2006/main" count="1264" uniqueCount="52">
  <si>
    <t>Customer</t>
  </si>
  <si>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</si>
  <si>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</si>
  <si>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</si>
  <si>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</si>
  <si>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</si>
  <si>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</si>
  <si>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</si>
  <si>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</si>
  <si>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</si>
  <si>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</si>
  <si>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</si>
  <si>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</si>
  <si>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</si>
  <si>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</si>
  <si>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</si>
  <si>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</si>
  <si>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</si>
  <si>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</si>
  <si>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</si>
  <si>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</si>
  <si>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</si>
  <si>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</si>
  <si>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</si>
  <si>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</si>
  <si>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</si>
  <si>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</si>
  <si>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</si>
  <si>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</si>
  <si>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</si>
  <si>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</si>
  <si>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</si>
  <si>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</si>
  <si>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</si>
  <si>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</si>
  <si>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</si>
  <si>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</si>
  <si>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</si>
  <si>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</si>
  <si>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</si>
  <si>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</si>
  <si>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</si>
  <si>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</si>
  <si>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</si>
  <si>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</si>
  <si>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</si>
  <si>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</si>
  <si>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</si>
  <si>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</si>
  <si>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</si>
  <si>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Row Labels</t>
  </si>
  <si>
    <t>Total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</si>
</sst>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3" borderId="1" xfId="0" applyFill="1" applyBorder="1"/>
  </cellXfs>
  <cellStyles count="1">
    <cellStyle name="Normal" xfId="0" builtinId="0"/>
  </cellStyles>
  <dxfs count="5">
    <dxf>
      <numFmt numFmtId="19" formatCode="dd/mm/yyyy"/>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1" xr9:uid="{4535A9A9-5659-4BED-AC00-423A1C571928}"/>
  </tableStyles>
  <extLst>
    <ext xmlns:x14="http://schemas.microsoft.com/office/spreadsheetml/2009/9/main" uri="{46F421CA-312F-682f-3DD2-61675219B42D}">
      <x14:dxfs count="1">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Table'!$G$4:$G$12</c:f>
              <c:strCache>
                <c:ptCount val="8"/>
                <c:pt idx="0">
                  <c:v>Camera</c:v>
                </c:pt>
                <c:pt idx="1">
                  <c:v>Fridge</c:v>
                </c:pt>
                <c:pt idx="2">
                  <c:v>Headphones</c:v>
                </c:pt>
                <c:pt idx="3">
                  <c:v>Jeans</c:v>
                </c:pt>
                <c:pt idx="4">
                  <c:v>Laptop</c:v>
                </c:pt>
                <c:pt idx="5">
                  <c:v>Microwave</c:v>
                </c:pt>
                <c:pt idx="6">
                  <c:v>Mobile</c:v>
                </c:pt>
                <c:pt idx="7">
                  <c:v>Shirt</c:v>
                </c:pt>
              </c:strCache>
            </c:strRef>
          </c:cat>
          <c:val>
            <c:numRef>
              <c:f>'Pivot Table'!$H$4:$H$12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8A91-4B51-B007-269634C50907}"/>
            </c:ext>
          </c:extLst>
        </c:ser>
        <c:dLbls>
          <c:showLegendKey val="0"/>
          <c:showVal val="0"/>
          <c:showCatName val="0"/>
          <c:showSerName val="0"/>
          <c:showPercent val="0"/>
          <c:showBubbleSize val="0"/>
        </c:dLbls>
        <c:gapWidth val="182"/>
        <c:overlap val="-50"/>
        <c:axId val="1474759808"/>
        <c:axId val="1474762304"/>
      </c:barChart>
      <c:catAx>
        <c:axId val="1474759808"/>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62304"/>
        <c:crosses val="autoZero"/>
        <c:auto val="1"/>
        <c:lblAlgn val="ctr"/>
        <c:lblOffset val="100"/>
        <c:noMultiLvlLbl val="0"/>
      </c:catAx>
      <c:valAx>
        <c:axId val="1474762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475980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Months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Table'!$G$16:$G$26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Table'!$H$16:$H$26</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4846-4D7A-9815-3227CA8CBB35}"/>
            </c:ext>
          </c:extLst>
        </c:ser>
        <c:dLbls>
          <c:dLblPos val="ctr"/>
          <c:showLegendKey val="0"/>
          <c:showVal val="1"/>
          <c:showCatName val="0"/>
          <c:showSerName val="0"/>
          <c:showPercent val="0"/>
          <c:showBubbleSize val="0"/>
        </c:dLbls>
        <c:marker val="1"/>
        <c:smooth val="0"/>
        <c:axId val="42976880"/>
        <c:axId val="42977296"/>
      </c:lineChart>
      <c:catAx>
        <c:axId val="429768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7296"/>
        <c:crosses val="autoZero"/>
        <c:auto val="1"/>
        <c:lblAlgn val="ctr"/>
        <c:lblOffset val="100"/>
        <c:noMultiLvlLbl val="0"/>
      </c:catAx>
      <c:valAx>
        <c:axId val="42977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9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5D-4FEA-9833-D2F20374C6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5D-4FEA-9833-D2F20374C6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5D-4FEA-9833-D2F20374C6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5D-4FEA-9833-D2F20374C6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4B5D-4FEA-9833-D2F20374C6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97-40A2-AB78-74E840A999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97-40A2-AB78-74E840A999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97-40A2-AB78-74E840A999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97-40A2-AB78-74E840A99923}"/>
              </c:ext>
            </c:extLst>
          </c:dPt>
          <c:dLbls>
            <c:dLbl>
              <c:idx val="0"/>
              <c:layout>
                <c:manualLayout>
                  <c:x val="9.1087109686510431E-2"/>
                  <c:y val="1.57170249279884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97-40A2-AB78-74E840A99923}"/>
                </c:ext>
              </c:extLst>
            </c:dLbl>
            <c:dLbl>
              <c:idx val="1"/>
              <c:layout>
                <c:manualLayout>
                  <c:x val="9.5877019797304092E-2"/>
                  <c:y val="2.69049115416969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97-40A2-AB78-74E840A99923}"/>
                </c:ext>
              </c:extLst>
            </c:dLbl>
            <c:dLbl>
              <c:idx val="2"/>
              <c:layout>
                <c:manualLayout>
                  <c:x val="-9.4196610379454787E-2"/>
                  <c:y val="-8.3310411242327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97-40A2-AB78-74E840A999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3397-40A2-AB78-74E840A9992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Table!PivotTable3</c:name>
    <c:fmtId val="2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Table'!$G$4:$G$12</c:f>
              <c:strCache>
                <c:ptCount val="8"/>
                <c:pt idx="0">
                  <c:v>Camera</c:v>
                </c:pt>
                <c:pt idx="1">
                  <c:v>Fridge</c:v>
                </c:pt>
                <c:pt idx="2">
                  <c:v>Headphones</c:v>
                </c:pt>
                <c:pt idx="3">
                  <c:v>Jeans</c:v>
                </c:pt>
                <c:pt idx="4">
                  <c:v>Laptop</c:v>
                </c:pt>
                <c:pt idx="5">
                  <c:v>Microwave</c:v>
                </c:pt>
                <c:pt idx="6">
                  <c:v>Mobile</c:v>
                </c:pt>
                <c:pt idx="7">
                  <c:v>Shirt</c:v>
                </c:pt>
              </c:strCache>
            </c:strRef>
          </c:cat>
          <c:val>
            <c:numRef>
              <c:f>'Pivot Table'!$H$4:$H$12</c:f>
              <c:numCache>
                <c:formatCode>General</c:formatCode>
                <c:ptCount val="8"/>
                <c:pt idx="0">
                  <c:v>3411818</c:v>
                </c:pt>
                <c:pt idx="1">
                  <c:v>4666911</c:v>
                </c:pt>
                <c:pt idx="2">
                  <c:v>4615631</c:v>
                </c:pt>
                <c:pt idx="3">
                  <c:v>4302479</c:v>
                </c:pt>
                <c:pt idx="4">
                  <c:v>4820115</c:v>
                </c:pt>
                <c:pt idx="5">
                  <c:v>4905424</c:v>
                </c:pt>
                <c:pt idx="6">
                  <c:v>5906260</c:v>
                </c:pt>
                <c:pt idx="7">
                  <c:v>4598453</c:v>
                </c:pt>
              </c:numCache>
            </c:numRef>
          </c:val>
          <c:extLst>
            <c:ext xmlns:c16="http://schemas.microsoft.com/office/drawing/2014/chart" uri="{C3380CC4-5D6E-409C-BE32-E72D297353CC}">
              <c16:uniqueId val="{00000000-2FE6-473C-B3A2-DCDAC2F4A7F4}"/>
            </c:ext>
          </c:extLst>
        </c:ser>
        <c:dLbls>
          <c:dLblPos val="outEnd"/>
          <c:showLegendKey val="0"/>
          <c:showVal val="1"/>
          <c:showCatName val="0"/>
          <c:showSerName val="0"/>
          <c:showPercent val="0"/>
          <c:showBubbleSize val="0"/>
        </c:dLbls>
        <c:gapWidth val="100"/>
        <c:overlap val="-24"/>
        <c:axId val="1533390160"/>
        <c:axId val="1533385840"/>
      </c:barChart>
      <c:catAx>
        <c:axId val="1533390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85840"/>
        <c:crosses val="autoZero"/>
        <c:auto val="1"/>
        <c:lblAlgn val="ctr"/>
        <c:lblOffset val="100"/>
        <c:noMultiLvlLbl val="0"/>
      </c:catAx>
      <c:valAx>
        <c:axId val="153338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9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Table!PivotTable6</c:name>
    <c:fmtId val="18"/>
  </c:pivotSource>
  <c:chart>
    <c:title>
      <c:tx>
        <c:rich>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r>
              <a:rPr lang="en-US" sz="1400" b="1"/>
              <a:t>Sales By Months</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2"/>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Table'!$H$15</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Table'!$G$16:$G$26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Table'!$H$16:$H$26</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8662-44A7-81BB-B9566ABCDE16}"/>
            </c:ext>
          </c:extLst>
        </c:ser>
        <c:dLbls>
          <c:dLblPos val="ctr"/>
          <c:showLegendKey val="0"/>
          <c:showVal val="1"/>
          <c:showCatName val="0"/>
          <c:showSerName val="0"/>
          <c:showPercent val="0"/>
          <c:showBubbleSize val="0"/>
        </c:dLbls>
        <c:marker val="1"/>
        <c:smooth val="0"/>
        <c:axId val="42976880"/>
        <c:axId val="42977296"/>
      </c:lineChart>
      <c:catAx>
        <c:axId val="4297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42977296"/>
        <c:crosses val="autoZero"/>
        <c:auto val="1"/>
        <c:lblAlgn val="ctr"/>
        <c:lblOffset val="100"/>
        <c:noMultiLvlLbl val="0"/>
      </c:catAx>
      <c:valAx>
        <c:axId val="4297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429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Table!PivotTable1</c:name>
    <c:fmtId val="9"/>
  </c:pivotSource>
  <c:chart>
    <c:title>
      <c:tx>
        <c:rich>
          <a:bodyPr rot="0" spcFirstLastPara="1" vertOverflow="ellipsis" vert="horz" wrap="square" anchor="ctr" anchorCtr="1"/>
          <a:lstStyle/>
          <a:p>
            <a:pPr>
              <a:defRPr lang="en-US" sz="1080" b="0"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US" sz="1400" b="1"/>
              <a:t>Sales By Region</a:t>
            </a:r>
          </a:p>
        </c:rich>
      </c:tx>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AAC-496E-949A-5546C92BBB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AAC-496E-949A-5546C92BBB9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AAC-496E-949A-5546C92BBB9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AAC-496E-949A-5546C92BBB9E}"/>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7492569</c:v>
                </c:pt>
                <c:pt idx="1">
                  <c:v>10716184</c:v>
                </c:pt>
                <c:pt idx="2">
                  <c:v>8149763</c:v>
                </c:pt>
                <c:pt idx="3">
                  <c:v>10868575</c:v>
                </c:pt>
              </c:numCache>
            </c:numRef>
          </c:val>
          <c:extLst>
            <c:ext xmlns:c16="http://schemas.microsoft.com/office/drawing/2014/chart" uri="{C3380CC4-5D6E-409C-BE32-E72D297353CC}">
              <c16:uniqueId val="{00000008-3AAC-496E-949A-5546C92BBB9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[06Sales_Dashboard (1).xlsx]Pivot Table!PivotTable2</c:name>
    <c:fmtId val="5"/>
  </c:pivotSource>
  <c:chart>
    <c:title>
      <c:tx>
        <c:rich>
          <a:bodyPr rot="0" spcFirstLastPara="1" vertOverflow="ellipsis" vert="horz" wrap="square" anchor="ctr" anchorCtr="1"/>
          <a:lstStyle/>
          <a:p>
            <a:pPr>
              <a:defRPr lang="en-US" sz="1080" b="0"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r>
              <a:rPr lang="en-US" sz="1400" b="1"/>
              <a:t>Sales By Category</a:t>
            </a:r>
          </a:p>
        </c:rich>
      </c:tx>
      <c:overlay val="0"/>
      <c:spPr>
        <a:noFill/>
        <a:ln>
          <a:noFill/>
        </a:ln>
        <a:effectLst/>
      </c:spPr>
      <c:txPr>
        <a:bodyPr rot="0" spcFirstLastPara="1" vertOverflow="ellipsis" vert="horz" wrap="square" anchor="ctr" anchorCtr="1"/>
        <a:lstStyle/>
        <a:p>
          <a:pPr>
            <a:defRPr lang="en-US" sz="1080" b="0" i="0" u="none" strike="noStrike" kern="1200" spc="100" baseline="0">
              <a:solidFill>
                <a:schemeClr val="tx2"/>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087109686510431E-2"/>
              <c:y val="1.5717024927988415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5877019797304092E-2"/>
              <c:y val="2.6904911541696951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196610379454787E-2"/>
              <c:y val="-8.331041124232777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354902284904091E-2"/>
              <c:y val="3.482937944497769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F2-46B9-9C6E-29BAD49CBF1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F2-46B9-9C6E-29BAD49CBF1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2F2-46B9-9C6E-29BAD49CBF1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2F2-46B9-9C6E-29BAD49CBF17}"/>
              </c:ext>
            </c:extLst>
          </c:dPt>
          <c:dLbls>
            <c:dLbl>
              <c:idx val="0"/>
              <c:layout>
                <c:manualLayout>
                  <c:x val="9.1087109686510431E-2"/>
                  <c:y val="1.571702492798841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F2-46B9-9C6E-29BAD49CBF17}"/>
                </c:ext>
              </c:extLst>
            </c:dLbl>
            <c:dLbl>
              <c:idx val="1"/>
              <c:layout>
                <c:manualLayout>
                  <c:x val="9.5877019797304092E-2"/>
                  <c:y val="2.690491154169695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F2-46B9-9C6E-29BAD49CBF17}"/>
                </c:ext>
              </c:extLst>
            </c:dLbl>
            <c:dLbl>
              <c:idx val="2"/>
              <c:layout>
                <c:manualLayout>
                  <c:x val="-9.4196610379454787E-2"/>
                  <c:y val="-8.3310411242327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F2-46B9-9C6E-29BAD49CBF17}"/>
                </c:ext>
              </c:extLst>
            </c:dLbl>
            <c:dLbl>
              <c:idx val="3"/>
              <c:layout>
                <c:manualLayout>
                  <c:x val="-1.6354902284904091E-2"/>
                  <c:y val="3.48293794449776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F2-46B9-9C6E-29BAD49CBF17}"/>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Accessories</c:v>
                </c:pt>
                <c:pt idx="1">
                  <c:v>Clothing</c:v>
                </c:pt>
                <c:pt idx="2">
                  <c:v>Electronics</c:v>
                </c:pt>
                <c:pt idx="3">
                  <c:v>Home Appliances</c:v>
                </c:pt>
              </c:strCache>
            </c:strRef>
          </c:cat>
          <c:val>
            <c:numRef>
              <c:f>'Pivot Table'!$E$4:$E$8</c:f>
              <c:numCache>
                <c:formatCode>General</c:formatCode>
                <c:ptCount val="4"/>
                <c:pt idx="0">
                  <c:v>7639824</c:v>
                </c:pt>
                <c:pt idx="1">
                  <c:v>7896972</c:v>
                </c:pt>
                <c:pt idx="2">
                  <c:v>12943334</c:v>
                </c:pt>
                <c:pt idx="3">
                  <c:v>8746961</c:v>
                </c:pt>
              </c:numCache>
            </c:numRef>
          </c:val>
          <c:extLst>
            <c:ext xmlns:c16="http://schemas.microsoft.com/office/drawing/2014/chart" uri="{C3380CC4-5D6E-409C-BE32-E72D297353CC}">
              <c16:uniqueId val="{00000008-72F2-46B9-9C6E-29BAD49CBF1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noFill/>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85725</xdr:rowOff>
    </xdr:from>
    <xdr:to>
      <xdr:col>20</xdr:col>
      <xdr:colOff>47625</xdr:colOff>
      <xdr:row>20</xdr:row>
      <xdr:rowOff>114300</xdr:rowOff>
    </xdr:to>
    <xdr:sp macro="" textlink="">
      <xdr:nvSpPr>
        <xdr:cNvPr id="2" name="Rectangle 1">
          <a:extLst>
            <a:ext uri="{FF2B5EF4-FFF2-40B4-BE49-F238E27FC236}">
              <a16:creationId xmlns:a16="http://schemas.microsoft.com/office/drawing/2014/main" id="{72EC3D65-4AAA-F998-0821-72EDE3125A6D}"/>
            </a:ext>
          </a:extLst>
        </xdr:cNvPr>
        <xdr:cNvSpPr/>
      </xdr:nvSpPr>
      <xdr:spPr>
        <a:xfrm>
          <a:off x="85725" y="85725"/>
          <a:ext cx="12153900" cy="3838575"/>
        </a:xfrm>
        <a:prstGeom prst="rect">
          <a:avLst/>
        </a:prstGeom>
        <a:solidFill>
          <a:schemeClr val="bg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133350</xdr:colOff>
      <xdr:row>0</xdr:row>
      <xdr:rowOff>133350</xdr:rowOff>
    </xdr:from>
    <xdr:to>
      <xdr:col>5</xdr:col>
      <xdr:colOff>95250</xdr:colOff>
      <xdr:row>2</xdr:row>
      <xdr:rowOff>133350</xdr:rowOff>
    </xdr:to>
    <xdr:sp macro="" textlink="">
      <xdr:nvSpPr>
        <xdr:cNvPr id="5" name="TextBox 4">
          <a:extLst>
            <a:ext uri="{FF2B5EF4-FFF2-40B4-BE49-F238E27FC236}">
              <a16:creationId xmlns:a16="http://schemas.microsoft.com/office/drawing/2014/main" id="{4994FAFD-0D43-A467-7B7B-12381255CBAF}"/>
            </a:ext>
          </a:extLst>
        </xdr:cNvPr>
        <xdr:cNvSpPr txBox="1"/>
      </xdr:nvSpPr>
      <xdr:spPr>
        <a:xfrm>
          <a:off x="133350" y="133350"/>
          <a:ext cx="3009900" cy="381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Diwali Sales Dashboard - 2026</a:t>
          </a:r>
        </a:p>
      </xdr:txBody>
    </xdr:sp>
    <xdr:clientData/>
  </xdr:twoCellAnchor>
  <xdr:twoCellAnchor>
    <xdr:from>
      <xdr:col>0</xdr:col>
      <xdr:colOff>142875</xdr:colOff>
      <xdr:row>3</xdr:row>
      <xdr:rowOff>95250</xdr:rowOff>
    </xdr:from>
    <xdr:to>
      <xdr:col>5</xdr:col>
      <xdr:colOff>123825</xdr:colOff>
      <xdr:row>20</xdr:row>
      <xdr:rowOff>66675</xdr:rowOff>
    </xdr:to>
    <xdr:sp macro="" textlink="">
      <xdr:nvSpPr>
        <xdr:cNvPr id="6" name="Rectangle 5">
          <a:extLst>
            <a:ext uri="{FF2B5EF4-FFF2-40B4-BE49-F238E27FC236}">
              <a16:creationId xmlns:a16="http://schemas.microsoft.com/office/drawing/2014/main" id="{A3262A4C-30B5-0C88-FD75-CECA82660DFC}"/>
            </a:ext>
          </a:extLst>
        </xdr:cNvPr>
        <xdr:cNvSpPr/>
      </xdr:nvSpPr>
      <xdr:spPr>
        <a:xfrm>
          <a:off x="142875" y="666750"/>
          <a:ext cx="3028950" cy="3209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200024</xdr:colOff>
      <xdr:row>7</xdr:row>
      <xdr:rowOff>95250</xdr:rowOff>
    </xdr:from>
    <xdr:to>
      <xdr:col>11</xdr:col>
      <xdr:colOff>276225</xdr:colOff>
      <xdr:row>20</xdr:row>
      <xdr:rowOff>66675</xdr:rowOff>
    </xdr:to>
    <xdr:sp macro="" textlink="">
      <xdr:nvSpPr>
        <xdr:cNvPr id="7" name="Rectangle 6">
          <a:extLst>
            <a:ext uri="{FF2B5EF4-FFF2-40B4-BE49-F238E27FC236}">
              <a16:creationId xmlns:a16="http://schemas.microsoft.com/office/drawing/2014/main" id="{EC5B8B90-F18D-4B03-9E75-DCC58D84B7C2}"/>
            </a:ext>
          </a:extLst>
        </xdr:cNvPr>
        <xdr:cNvSpPr/>
      </xdr:nvSpPr>
      <xdr:spPr>
        <a:xfrm>
          <a:off x="3248024" y="1428750"/>
          <a:ext cx="3733801" cy="24479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0</xdr:row>
      <xdr:rowOff>142875</xdr:rowOff>
    </xdr:from>
    <xdr:to>
      <xdr:col>17</xdr:col>
      <xdr:colOff>38100</xdr:colOff>
      <xdr:row>10</xdr:row>
      <xdr:rowOff>38100</xdr:rowOff>
    </xdr:to>
    <xdr:sp macro="" textlink="">
      <xdr:nvSpPr>
        <xdr:cNvPr id="8" name="Rectangle 7">
          <a:extLst>
            <a:ext uri="{FF2B5EF4-FFF2-40B4-BE49-F238E27FC236}">
              <a16:creationId xmlns:a16="http://schemas.microsoft.com/office/drawing/2014/main" id="{4ADFF871-8904-4DD2-BDE3-84BF98E742BB}"/>
            </a:ext>
          </a:extLst>
        </xdr:cNvPr>
        <xdr:cNvSpPr/>
      </xdr:nvSpPr>
      <xdr:spPr>
        <a:xfrm>
          <a:off x="7086599" y="142875"/>
          <a:ext cx="3314701"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380999</xdr:colOff>
      <xdr:row>10</xdr:row>
      <xdr:rowOff>133350</xdr:rowOff>
    </xdr:from>
    <xdr:to>
      <xdr:col>17</xdr:col>
      <xdr:colOff>38100</xdr:colOff>
      <xdr:row>20</xdr:row>
      <xdr:rowOff>47625</xdr:rowOff>
    </xdr:to>
    <xdr:sp macro="" textlink="">
      <xdr:nvSpPr>
        <xdr:cNvPr id="9" name="Rectangle 8">
          <a:extLst>
            <a:ext uri="{FF2B5EF4-FFF2-40B4-BE49-F238E27FC236}">
              <a16:creationId xmlns:a16="http://schemas.microsoft.com/office/drawing/2014/main" id="{D49372AE-99B4-4942-85F3-8337E02D6E62}"/>
            </a:ext>
          </a:extLst>
        </xdr:cNvPr>
        <xdr:cNvSpPr/>
      </xdr:nvSpPr>
      <xdr:spPr>
        <a:xfrm>
          <a:off x="7086599" y="2038350"/>
          <a:ext cx="3314701" cy="18192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0</xdr:row>
      <xdr:rowOff>123825</xdr:rowOff>
    </xdr:from>
    <xdr:to>
      <xdr:col>19</xdr:col>
      <xdr:colOff>581025</xdr:colOff>
      <xdr:row>10</xdr:row>
      <xdr:rowOff>19050</xdr:rowOff>
    </xdr:to>
    <xdr:sp macro="" textlink="">
      <xdr:nvSpPr>
        <xdr:cNvPr id="10" name="Rectangle 9">
          <a:extLst>
            <a:ext uri="{FF2B5EF4-FFF2-40B4-BE49-F238E27FC236}">
              <a16:creationId xmlns:a16="http://schemas.microsoft.com/office/drawing/2014/main" id="{4A5253AD-C33D-43AD-9C11-768534191ECC}"/>
            </a:ext>
          </a:extLst>
        </xdr:cNvPr>
        <xdr:cNvSpPr/>
      </xdr:nvSpPr>
      <xdr:spPr>
        <a:xfrm>
          <a:off x="10496550" y="123825"/>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133350</xdr:colOff>
      <xdr:row>10</xdr:row>
      <xdr:rowOff>133350</xdr:rowOff>
    </xdr:from>
    <xdr:to>
      <xdr:col>19</xdr:col>
      <xdr:colOff>581025</xdr:colOff>
      <xdr:row>20</xdr:row>
      <xdr:rowOff>28575</xdr:rowOff>
    </xdr:to>
    <xdr:sp macro="" textlink="">
      <xdr:nvSpPr>
        <xdr:cNvPr id="11" name="Rectangle 10">
          <a:extLst>
            <a:ext uri="{FF2B5EF4-FFF2-40B4-BE49-F238E27FC236}">
              <a16:creationId xmlns:a16="http://schemas.microsoft.com/office/drawing/2014/main" id="{8A071B56-1321-41DB-835A-F4F542B7D690}"/>
            </a:ext>
          </a:extLst>
        </xdr:cNvPr>
        <xdr:cNvSpPr/>
      </xdr:nvSpPr>
      <xdr:spPr>
        <a:xfrm>
          <a:off x="10496550" y="2038350"/>
          <a:ext cx="1666875" cy="180022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200026</xdr:colOff>
      <xdr:row>0</xdr:row>
      <xdr:rowOff>142875</xdr:rowOff>
    </xdr:from>
    <xdr:to>
      <xdr:col>7</xdr:col>
      <xdr:colOff>161925</xdr:colOff>
      <xdr:row>7</xdr:row>
      <xdr:rowOff>19050</xdr:rowOff>
    </xdr:to>
    <xdr:sp macro="" textlink="">
      <xdr:nvSpPr>
        <xdr:cNvPr id="12" name="Rectangle 11">
          <a:extLst>
            <a:ext uri="{FF2B5EF4-FFF2-40B4-BE49-F238E27FC236}">
              <a16:creationId xmlns:a16="http://schemas.microsoft.com/office/drawing/2014/main" id="{12BFC0E6-6751-47BA-BCEE-A95B8E68BE33}"/>
            </a:ext>
          </a:extLst>
        </xdr:cNvPr>
        <xdr:cNvSpPr/>
      </xdr:nvSpPr>
      <xdr:spPr>
        <a:xfrm>
          <a:off x="3248026" y="142875"/>
          <a:ext cx="1181099"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266702</xdr:colOff>
      <xdr:row>0</xdr:row>
      <xdr:rowOff>152400</xdr:rowOff>
    </xdr:from>
    <xdr:to>
      <xdr:col>9</xdr:col>
      <xdr:colOff>257176</xdr:colOff>
      <xdr:row>7</xdr:row>
      <xdr:rowOff>28575</xdr:rowOff>
    </xdr:to>
    <xdr:sp macro="" textlink="">
      <xdr:nvSpPr>
        <xdr:cNvPr id="13" name="Rectangle 12">
          <a:extLst>
            <a:ext uri="{FF2B5EF4-FFF2-40B4-BE49-F238E27FC236}">
              <a16:creationId xmlns:a16="http://schemas.microsoft.com/office/drawing/2014/main" id="{27F46D48-193D-44CB-A873-F6F52DB96808}"/>
            </a:ext>
          </a:extLst>
        </xdr:cNvPr>
        <xdr:cNvSpPr/>
      </xdr:nvSpPr>
      <xdr:spPr>
        <a:xfrm>
          <a:off x="4533902" y="152400"/>
          <a:ext cx="1209674"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342900</xdr:colOff>
      <xdr:row>0</xdr:row>
      <xdr:rowOff>161925</xdr:rowOff>
    </xdr:from>
    <xdr:to>
      <xdr:col>11</xdr:col>
      <xdr:colOff>285750</xdr:colOff>
      <xdr:row>7</xdr:row>
      <xdr:rowOff>38100</xdr:rowOff>
    </xdr:to>
    <xdr:sp macro="" textlink="">
      <xdr:nvSpPr>
        <xdr:cNvPr id="14" name="Rectangle 13">
          <a:extLst>
            <a:ext uri="{FF2B5EF4-FFF2-40B4-BE49-F238E27FC236}">
              <a16:creationId xmlns:a16="http://schemas.microsoft.com/office/drawing/2014/main" id="{2ECD4B4F-4FD9-4516-8962-CB3E92A9177A}"/>
            </a:ext>
          </a:extLst>
        </xdr:cNvPr>
        <xdr:cNvSpPr/>
      </xdr:nvSpPr>
      <xdr:spPr>
        <a:xfrm>
          <a:off x="5829300" y="161925"/>
          <a:ext cx="1162050" cy="1209675"/>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3</xdr:row>
      <xdr:rowOff>123826</xdr:rowOff>
    </xdr:from>
    <xdr:to>
      <xdr:col>5</xdr:col>
      <xdr:colOff>66675</xdr:colOff>
      <xdr:row>20</xdr:row>
      <xdr:rowOff>9526</xdr:rowOff>
    </xdr:to>
    <xdr:graphicFrame macro="">
      <xdr:nvGraphicFramePr>
        <xdr:cNvPr id="15" name="Chart 14">
          <a:extLst>
            <a:ext uri="{FF2B5EF4-FFF2-40B4-BE49-F238E27FC236}">
              <a16:creationId xmlns:a16="http://schemas.microsoft.com/office/drawing/2014/main" id="{F2BD886B-C0D2-4FA8-B0E1-FE4DBFD34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219074</xdr:colOff>
      <xdr:row>7</xdr:row>
      <xdr:rowOff>104775</xdr:rowOff>
    </xdr:from>
    <xdr:to>
      <xdr:col>11</xdr:col>
      <xdr:colOff>238125</xdr:colOff>
      <xdr:row>20</xdr:row>
      <xdr:rowOff>47624</xdr:rowOff>
    </xdr:to>
    <xdr:graphicFrame macro="">
      <xdr:nvGraphicFramePr>
        <xdr:cNvPr id="16" name="Chart 15">
          <a:extLst>
            <a:ext uri="{FF2B5EF4-FFF2-40B4-BE49-F238E27FC236}">
              <a16:creationId xmlns:a16="http://schemas.microsoft.com/office/drawing/2014/main" id="{DEA0A655-CDF9-46FD-AE97-989BF91FB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428624</xdr:colOff>
      <xdr:row>1</xdr:row>
      <xdr:rowOff>9525</xdr:rowOff>
    </xdr:from>
    <xdr:to>
      <xdr:col>17</xdr:col>
      <xdr:colOff>9525</xdr:colOff>
      <xdr:row>9</xdr:row>
      <xdr:rowOff>180975</xdr:rowOff>
    </xdr:to>
    <xdr:graphicFrame macro="">
      <xdr:nvGraphicFramePr>
        <xdr:cNvPr id="17" name="Chart 16">
          <a:extLst>
            <a:ext uri="{FF2B5EF4-FFF2-40B4-BE49-F238E27FC236}">
              <a16:creationId xmlns:a16="http://schemas.microsoft.com/office/drawing/2014/main" id="{C5313F5F-934F-4306-AE69-3A172F12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10</xdr:row>
      <xdr:rowOff>161925</xdr:rowOff>
    </xdr:from>
    <xdr:to>
      <xdr:col>16</xdr:col>
      <xdr:colOff>600075</xdr:colOff>
      <xdr:row>20</xdr:row>
      <xdr:rowOff>5602</xdr:rowOff>
    </xdr:to>
    <xdr:graphicFrame macro="">
      <xdr:nvGraphicFramePr>
        <xdr:cNvPr id="18" name="Chart 17">
          <a:extLst>
            <a:ext uri="{FF2B5EF4-FFF2-40B4-BE49-F238E27FC236}">
              <a16:creationId xmlns:a16="http://schemas.microsoft.com/office/drawing/2014/main" id="{A9378C8F-E656-4C76-B6CE-7CCA2644D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228600</xdr:colOff>
      <xdr:row>1</xdr:row>
      <xdr:rowOff>19050</xdr:rowOff>
    </xdr:from>
    <xdr:to>
      <xdr:col>7</xdr:col>
      <xdr:colOff>142875</xdr:colOff>
      <xdr:row>3</xdr:row>
      <xdr:rowOff>123825</xdr:rowOff>
    </xdr:to>
    <xdr:sp macro="" textlink="">
      <xdr:nvSpPr>
        <xdr:cNvPr id="19" name="TextBox 18">
          <a:extLst>
            <a:ext uri="{FF2B5EF4-FFF2-40B4-BE49-F238E27FC236}">
              <a16:creationId xmlns:a16="http://schemas.microsoft.com/office/drawing/2014/main" id="{4FFA6D86-C82C-D754-B3E8-B621D20966EB}"/>
            </a:ext>
          </a:extLst>
        </xdr:cNvPr>
        <xdr:cNvSpPr txBox="1"/>
      </xdr:nvSpPr>
      <xdr:spPr>
        <a:xfrm>
          <a:off x="3276600" y="2095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Sales</a:t>
          </a:r>
        </a:p>
      </xdr:txBody>
    </xdr:sp>
    <xdr:clientData/>
  </xdr:twoCellAnchor>
  <xdr:twoCellAnchor>
    <xdr:from>
      <xdr:col>7</xdr:col>
      <xdr:colOff>314325</xdr:colOff>
      <xdr:row>1</xdr:row>
      <xdr:rowOff>28575</xdr:rowOff>
    </xdr:from>
    <xdr:to>
      <xdr:col>9</xdr:col>
      <xdr:colOff>228600</xdr:colOff>
      <xdr:row>3</xdr:row>
      <xdr:rowOff>133350</xdr:rowOff>
    </xdr:to>
    <xdr:sp macro="" textlink="">
      <xdr:nvSpPr>
        <xdr:cNvPr id="20" name="TextBox 19">
          <a:extLst>
            <a:ext uri="{FF2B5EF4-FFF2-40B4-BE49-F238E27FC236}">
              <a16:creationId xmlns:a16="http://schemas.microsoft.com/office/drawing/2014/main" id="{D92BCB76-8944-4B90-8C53-D83127333FA1}"/>
            </a:ext>
          </a:extLst>
        </xdr:cNvPr>
        <xdr:cNvSpPr txBox="1"/>
      </xdr:nvSpPr>
      <xdr:spPr>
        <a:xfrm>
          <a:off x="4581525" y="21907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Profit</a:t>
          </a:r>
        </a:p>
      </xdr:txBody>
    </xdr:sp>
    <xdr:clientData/>
  </xdr:twoCellAnchor>
  <xdr:twoCellAnchor>
    <xdr:from>
      <xdr:col>9</xdr:col>
      <xdr:colOff>352425</xdr:colOff>
      <xdr:row>1</xdr:row>
      <xdr:rowOff>0</xdr:rowOff>
    </xdr:from>
    <xdr:to>
      <xdr:col>11</xdr:col>
      <xdr:colOff>266700</xdr:colOff>
      <xdr:row>3</xdr:row>
      <xdr:rowOff>104775</xdr:rowOff>
    </xdr:to>
    <xdr:sp macro="" textlink="">
      <xdr:nvSpPr>
        <xdr:cNvPr id="21" name="TextBox 20">
          <a:extLst>
            <a:ext uri="{FF2B5EF4-FFF2-40B4-BE49-F238E27FC236}">
              <a16:creationId xmlns:a16="http://schemas.microsoft.com/office/drawing/2014/main" id="{32C771D4-A2FB-4AFF-984B-CF82C0C8D1D6}"/>
            </a:ext>
          </a:extLst>
        </xdr:cNvPr>
        <xdr:cNvSpPr txBox="1"/>
      </xdr:nvSpPr>
      <xdr:spPr>
        <a:xfrm>
          <a:off x="5838825" y="19050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Qty.</a:t>
          </a:r>
        </a:p>
      </xdr:txBody>
    </xdr:sp>
    <xdr:clientData/>
  </xdr:twoCellAnchor>
  <xdr:twoCellAnchor>
    <xdr:from>
      <xdr:col>5</xdr:col>
      <xdr:colOff>219075</xdr:colOff>
      <xdr:row>4</xdr:row>
      <xdr:rowOff>47625</xdr:rowOff>
    </xdr:from>
    <xdr:to>
      <xdr:col>7</xdr:col>
      <xdr:colOff>133350</xdr:colOff>
      <xdr:row>6</xdr:row>
      <xdr:rowOff>152400</xdr:rowOff>
    </xdr:to>
    <xdr:sp macro="" textlink="'Pivot Table'!O4">
      <xdr:nvSpPr>
        <xdr:cNvPr id="22" name="TextBox 21">
          <a:extLst>
            <a:ext uri="{FF2B5EF4-FFF2-40B4-BE49-F238E27FC236}">
              <a16:creationId xmlns:a16="http://schemas.microsoft.com/office/drawing/2014/main" id="{75A73CF8-41FF-4074-BE07-4FD54E8BF491}"/>
            </a:ext>
          </a:extLst>
        </xdr:cNvPr>
        <xdr:cNvSpPr txBox="1"/>
      </xdr:nvSpPr>
      <xdr:spPr>
        <a:xfrm>
          <a:off x="3267075" y="8096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1424F-CB17-44F9-A059-FECE00C2F2A8}" type="TxLink">
            <a:rPr lang="en-US" sz="1800" b="0" i="0" u="none" strike="noStrike">
              <a:solidFill>
                <a:schemeClr val="bg1"/>
              </a:solidFill>
              <a:latin typeface="Calibri"/>
              <a:ea typeface="Calibri"/>
              <a:cs typeface="Calibri"/>
            </a:rPr>
            <a:pPr algn="ctr"/>
            <a:t>37227091</a:t>
          </a:fld>
          <a:endParaRPr lang="en-IN" sz="1800">
            <a:solidFill>
              <a:schemeClr val="bg1"/>
            </a:solidFill>
          </a:endParaRPr>
        </a:p>
      </xdr:txBody>
    </xdr:sp>
    <xdr:clientData/>
  </xdr:twoCellAnchor>
  <xdr:twoCellAnchor>
    <xdr:from>
      <xdr:col>7</xdr:col>
      <xdr:colOff>323850</xdr:colOff>
      <xdr:row>4</xdr:row>
      <xdr:rowOff>57150</xdr:rowOff>
    </xdr:from>
    <xdr:to>
      <xdr:col>9</xdr:col>
      <xdr:colOff>238125</xdr:colOff>
      <xdr:row>6</xdr:row>
      <xdr:rowOff>161925</xdr:rowOff>
    </xdr:to>
    <xdr:sp macro="" textlink="'Pivot Table'!O5">
      <xdr:nvSpPr>
        <xdr:cNvPr id="23" name="TextBox 22">
          <a:extLst>
            <a:ext uri="{FF2B5EF4-FFF2-40B4-BE49-F238E27FC236}">
              <a16:creationId xmlns:a16="http://schemas.microsoft.com/office/drawing/2014/main" id="{87F88828-5DEE-4C80-A010-EDC794445E08}"/>
            </a:ext>
          </a:extLst>
        </xdr:cNvPr>
        <xdr:cNvSpPr txBox="1"/>
      </xdr:nvSpPr>
      <xdr:spPr>
        <a:xfrm>
          <a:off x="4591050" y="819150"/>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6C479-5C68-425A-BBC0-B805E21EFC48}" type="TxLink">
            <a:rPr lang="en-US" sz="1800" b="0" i="0" u="none" strike="noStrike">
              <a:solidFill>
                <a:schemeClr val="bg1"/>
              </a:solidFill>
              <a:latin typeface="Calibri"/>
              <a:ea typeface="Calibri"/>
              <a:cs typeface="Calibri"/>
            </a:rPr>
            <a:pPr algn="ctr"/>
            <a:t>1532557</a:t>
          </a:fld>
          <a:endParaRPr lang="en-IN" sz="1800">
            <a:solidFill>
              <a:schemeClr val="bg1"/>
            </a:solidFill>
          </a:endParaRPr>
        </a:p>
      </xdr:txBody>
    </xdr:sp>
    <xdr:clientData/>
  </xdr:twoCellAnchor>
  <xdr:twoCellAnchor>
    <xdr:from>
      <xdr:col>9</xdr:col>
      <xdr:colOff>352425</xdr:colOff>
      <xdr:row>4</xdr:row>
      <xdr:rowOff>85725</xdr:rowOff>
    </xdr:from>
    <xdr:to>
      <xdr:col>11</xdr:col>
      <xdr:colOff>266700</xdr:colOff>
      <xdr:row>7</xdr:row>
      <xdr:rowOff>0</xdr:rowOff>
    </xdr:to>
    <xdr:sp macro="" textlink="'Pivot Table'!O6">
      <xdr:nvSpPr>
        <xdr:cNvPr id="24" name="TextBox 23">
          <a:extLst>
            <a:ext uri="{FF2B5EF4-FFF2-40B4-BE49-F238E27FC236}">
              <a16:creationId xmlns:a16="http://schemas.microsoft.com/office/drawing/2014/main" id="{4A50E70C-93E9-41D1-9696-95B20B5084A9}"/>
            </a:ext>
          </a:extLst>
        </xdr:cNvPr>
        <xdr:cNvSpPr txBox="1"/>
      </xdr:nvSpPr>
      <xdr:spPr>
        <a:xfrm>
          <a:off x="5838825" y="847725"/>
          <a:ext cx="1133475"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5E7C8-3E4B-4EA7-BAE1-06F1FF33AC36}" type="TxLink">
            <a:rPr lang="en-US" sz="1800" b="0" i="0" u="none" strike="noStrike">
              <a:solidFill>
                <a:schemeClr val="bg1"/>
              </a:solidFill>
              <a:latin typeface="Calibri"/>
              <a:ea typeface="Calibri"/>
              <a:cs typeface="Calibri"/>
            </a:rPr>
            <a:pPr algn="ctr"/>
            <a:t>1479</a:t>
          </a:fld>
          <a:endParaRPr lang="en-IN" sz="1800">
            <a:solidFill>
              <a:schemeClr val="bg1"/>
            </a:solidFill>
          </a:endParaRPr>
        </a:p>
      </xdr:txBody>
    </xdr:sp>
    <xdr:clientData/>
  </xdr:twoCellAnchor>
  <xdr:twoCellAnchor editAs="oneCell">
    <xdr:from>
      <xdr:col>17</xdr:col>
      <xdr:colOff>200025</xdr:colOff>
      <xdr:row>11</xdr:row>
      <xdr:rowOff>76200</xdr:rowOff>
    </xdr:from>
    <xdr:to>
      <xdr:col>19</xdr:col>
      <xdr:colOff>561975</xdr:colOff>
      <xdr:row>19</xdr:row>
      <xdr:rowOff>76760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C1391ACB-B771-4ABC-B7F1-11864E97B2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63225" y="2171700"/>
              <a:ext cx="1581150" cy="152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180975</xdr:colOff>
      <xdr:row>1</xdr:row>
      <xdr:rowOff>28575</xdr:rowOff>
    </xdr:from>
    <xdr:to>
      <xdr:col>19</xdr:col>
      <xdr:colOff>571500</xdr:colOff>
      <xdr:row>9</xdr:row>
      <xdr:rowOff>57150</xdr:rowOff>
    </xdr:to>
    <mc:AlternateContent xmlns:mc="http://schemas.openxmlformats.org/markup-compatibility/2006" xmlns:a14="http://schemas.microsoft.com/office/drawing/2010/main">
      <mc:Choice Requires="a14">
        <xdr:graphicFrame macro="">
          <xdr:nvGraphicFramePr>
            <xdr:cNvPr id="26" name="Region">
              <a:extLst>
                <a:ext uri="{FF2B5EF4-FFF2-40B4-BE49-F238E27FC236}">
                  <a16:creationId xmlns:a16="http://schemas.microsoft.com/office/drawing/2014/main" id="{B135CD56-40CE-44A8-8BDA-5E792E9C9B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44175" y="219075"/>
              <a:ext cx="1609725"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144575</xdr:colOff>
      <xdr:row>0</xdr:row>
      <xdr:rowOff>95250</xdr:rowOff>
    </xdr:from>
    <xdr:to>
      <xdr:col>28</xdr:col>
      <xdr:colOff>204106</xdr:colOff>
      <xdr:row>28</xdr:row>
      <xdr:rowOff>68036</xdr:rowOff>
    </xdr:to>
    <xdr:sp macro="" textlink="">
      <xdr:nvSpPr>
        <xdr:cNvPr id="2" name="Rectangle 1">
          <a:extLst>
            <a:ext uri="{FF2B5EF4-FFF2-40B4-BE49-F238E27FC236}">
              <a16:creationId xmlns:a16="http://schemas.microsoft.com/office/drawing/2014/main" id="{9141A754-13F5-D174-1A82-44C93DA8CA76}"/>
            </a:ext>
          </a:extLst>
        </xdr:cNvPr>
        <xdr:cNvSpPr/>
      </xdr:nvSpPr>
      <xdr:spPr>
        <a:xfrm>
          <a:off x="144575" y="95250"/>
          <a:ext cx="17204531" cy="5306786"/>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244929</xdr:colOff>
      <xdr:row>1</xdr:row>
      <xdr:rowOff>13607</xdr:rowOff>
    </xdr:from>
    <xdr:to>
      <xdr:col>7</xdr:col>
      <xdr:colOff>571500</xdr:colOff>
      <xdr:row>7</xdr:row>
      <xdr:rowOff>122464</xdr:rowOff>
    </xdr:to>
    <xdr:sp macro="" textlink="">
      <xdr:nvSpPr>
        <xdr:cNvPr id="6" name="Rectangle: Rounded Corners 5">
          <a:extLst>
            <a:ext uri="{FF2B5EF4-FFF2-40B4-BE49-F238E27FC236}">
              <a16:creationId xmlns:a16="http://schemas.microsoft.com/office/drawing/2014/main" id="{5E2DD5FA-E2D8-77BA-8D5E-0269583799A5}"/>
            </a:ext>
          </a:extLst>
        </xdr:cNvPr>
        <xdr:cNvSpPr/>
      </xdr:nvSpPr>
      <xdr:spPr>
        <a:xfrm>
          <a:off x="244929" y="204107"/>
          <a:ext cx="4612821" cy="125185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Diwali</a:t>
          </a:r>
          <a:r>
            <a:rPr lang="en-IN" sz="3200" b="1" baseline="0"/>
            <a:t> Sales Dashboard</a:t>
          </a:r>
        </a:p>
      </xdr:txBody>
    </xdr:sp>
    <xdr:clientData/>
  </xdr:twoCellAnchor>
  <xdr:twoCellAnchor>
    <xdr:from>
      <xdr:col>0</xdr:col>
      <xdr:colOff>204108</xdr:colOff>
      <xdr:row>8</xdr:row>
      <xdr:rowOff>40821</xdr:rowOff>
    </xdr:from>
    <xdr:to>
      <xdr:col>8</xdr:col>
      <xdr:colOff>122465</xdr:colOff>
      <xdr:row>28</xdr:row>
      <xdr:rowOff>27214</xdr:rowOff>
    </xdr:to>
    <xdr:sp macro="" textlink="">
      <xdr:nvSpPr>
        <xdr:cNvPr id="17" name="Rectangle 16">
          <a:extLst>
            <a:ext uri="{FF2B5EF4-FFF2-40B4-BE49-F238E27FC236}">
              <a16:creationId xmlns:a16="http://schemas.microsoft.com/office/drawing/2014/main" id="{FC966F23-6B7B-8BD5-7280-32573E93FF99}"/>
            </a:ext>
          </a:extLst>
        </xdr:cNvPr>
        <xdr:cNvSpPr/>
      </xdr:nvSpPr>
      <xdr:spPr>
        <a:xfrm>
          <a:off x="204108" y="1564821"/>
          <a:ext cx="4816928" cy="379639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244927</xdr:colOff>
      <xdr:row>8</xdr:row>
      <xdr:rowOff>54429</xdr:rowOff>
    </xdr:from>
    <xdr:to>
      <xdr:col>8</xdr:col>
      <xdr:colOff>81643</xdr:colOff>
      <xdr:row>27</xdr:row>
      <xdr:rowOff>163286</xdr:rowOff>
    </xdr:to>
    <xdr:graphicFrame macro="">
      <xdr:nvGraphicFramePr>
        <xdr:cNvPr id="18" name="Chart 17">
          <a:extLst>
            <a:ext uri="{FF2B5EF4-FFF2-40B4-BE49-F238E27FC236}">
              <a16:creationId xmlns:a16="http://schemas.microsoft.com/office/drawing/2014/main" id="{F72DBEF3-FE13-413C-911F-ED54FA7F8D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217715</xdr:colOff>
      <xdr:row>9</xdr:row>
      <xdr:rowOff>176894</xdr:rowOff>
    </xdr:from>
    <xdr:to>
      <xdr:col>16</xdr:col>
      <xdr:colOff>381000</xdr:colOff>
      <xdr:row>28</xdr:row>
      <xdr:rowOff>2</xdr:rowOff>
    </xdr:to>
    <xdr:sp macro="" textlink="">
      <xdr:nvSpPr>
        <xdr:cNvPr id="19" name="Rectangle 18">
          <a:extLst>
            <a:ext uri="{FF2B5EF4-FFF2-40B4-BE49-F238E27FC236}">
              <a16:creationId xmlns:a16="http://schemas.microsoft.com/office/drawing/2014/main" id="{B2BAFD3C-450D-F882-9EE8-E567DEF006E4}"/>
            </a:ext>
          </a:extLst>
        </xdr:cNvPr>
        <xdr:cNvSpPr/>
      </xdr:nvSpPr>
      <xdr:spPr>
        <a:xfrm>
          <a:off x="5116286" y="1891394"/>
          <a:ext cx="5061857" cy="344260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258536</xdr:colOff>
      <xdr:row>10</xdr:row>
      <xdr:rowOff>27214</xdr:rowOff>
    </xdr:from>
    <xdr:to>
      <xdr:col>16</xdr:col>
      <xdr:colOff>353786</xdr:colOff>
      <xdr:row>27</xdr:row>
      <xdr:rowOff>176893</xdr:rowOff>
    </xdr:to>
    <xdr:graphicFrame macro="">
      <xdr:nvGraphicFramePr>
        <xdr:cNvPr id="20" name="Chart 19">
          <a:extLst>
            <a:ext uri="{FF2B5EF4-FFF2-40B4-BE49-F238E27FC236}">
              <a16:creationId xmlns:a16="http://schemas.microsoft.com/office/drawing/2014/main" id="{DA0DDC0A-41BC-48E5-8A6C-082506C39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560616</xdr:colOff>
      <xdr:row>14</xdr:row>
      <xdr:rowOff>108859</xdr:rowOff>
    </xdr:from>
    <xdr:to>
      <xdr:col>24</xdr:col>
      <xdr:colOff>449036</xdr:colOff>
      <xdr:row>28</xdr:row>
      <xdr:rowOff>13610</xdr:rowOff>
    </xdr:to>
    <xdr:sp macro="" textlink="">
      <xdr:nvSpPr>
        <xdr:cNvPr id="21" name="Rectangle 20">
          <a:extLst>
            <a:ext uri="{FF2B5EF4-FFF2-40B4-BE49-F238E27FC236}">
              <a16:creationId xmlns:a16="http://schemas.microsoft.com/office/drawing/2014/main" id="{9BF76969-96D9-48D5-B2E5-3CB75F4617FC}"/>
            </a:ext>
          </a:extLst>
        </xdr:cNvPr>
        <xdr:cNvSpPr/>
      </xdr:nvSpPr>
      <xdr:spPr>
        <a:xfrm>
          <a:off x="10357759" y="2775859"/>
          <a:ext cx="4786991" cy="257175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547007</xdr:colOff>
      <xdr:row>0</xdr:row>
      <xdr:rowOff>163286</xdr:rowOff>
    </xdr:from>
    <xdr:to>
      <xdr:col>24</xdr:col>
      <xdr:colOff>421821</xdr:colOff>
      <xdr:row>13</xdr:row>
      <xdr:rowOff>163286</xdr:rowOff>
    </xdr:to>
    <xdr:sp macro="" textlink="">
      <xdr:nvSpPr>
        <xdr:cNvPr id="22" name="Rectangle 21">
          <a:extLst>
            <a:ext uri="{FF2B5EF4-FFF2-40B4-BE49-F238E27FC236}">
              <a16:creationId xmlns:a16="http://schemas.microsoft.com/office/drawing/2014/main" id="{9567C4C2-6DBC-4BD6-BC02-B3BAE60E0B6B}"/>
            </a:ext>
          </a:extLst>
        </xdr:cNvPr>
        <xdr:cNvSpPr/>
      </xdr:nvSpPr>
      <xdr:spPr>
        <a:xfrm>
          <a:off x="10344150" y="163286"/>
          <a:ext cx="4773385" cy="2476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598714</xdr:colOff>
      <xdr:row>1</xdr:row>
      <xdr:rowOff>27214</xdr:rowOff>
    </xdr:from>
    <xdr:to>
      <xdr:col>24</xdr:col>
      <xdr:colOff>394607</xdr:colOff>
      <xdr:row>13</xdr:row>
      <xdr:rowOff>136071</xdr:rowOff>
    </xdr:to>
    <xdr:graphicFrame macro="">
      <xdr:nvGraphicFramePr>
        <xdr:cNvPr id="23" name="Chart 22">
          <a:extLst>
            <a:ext uri="{FF2B5EF4-FFF2-40B4-BE49-F238E27FC236}">
              <a16:creationId xmlns:a16="http://schemas.microsoft.com/office/drawing/2014/main" id="{9790EA05-044B-471A-B6E4-A26DE8F7B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xdr:colOff>
      <xdr:row>14</xdr:row>
      <xdr:rowOff>176893</xdr:rowOff>
    </xdr:from>
    <xdr:to>
      <xdr:col>24</xdr:col>
      <xdr:colOff>408216</xdr:colOff>
      <xdr:row>27</xdr:row>
      <xdr:rowOff>163285</xdr:rowOff>
    </xdr:to>
    <xdr:graphicFrame macro="">
      <xdr:nvGraphicFramePr>
        <xdr:cNvPr id="24" name="Chart 23">
          <a:extLst>
            <a:ext uri="{FF2B5EF4-FFF2-40B4-BE49-F238E27FC236}">
              <a16:creationId xmlns:a16="http://schemas.microsoft.com/office/drawing/2014/main" id="{A653A8FF-9C56-490F-9C18-D6A8747FD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208532</xdr:colOff>
      <xdr:row>1</xdr:row>
      <xdr:rowOff>101374</xdr:rowOff>
    </xdr:from>
    <xdr:to>
      <xdr:col>11</xdr:col>
      <xdr:colOff>13607</xdr:colOff>
      <xdr:row>4</xdr:row>
      <xdr:rowOff>136071</xdr:rowOff>
    </xdr:to>
    <xdr:sp macro="" textlink="">
      <xdr:nvSpPr>
        <xdr:cNvPr id="25" name="Rectangle: Rounded Corners 24">
          <a:extLst>
            <a:ext uri="{FF2B5EF4-FFF2-40B4-BE49-F238E27FC236}">
              <a16:creationId xmlns:a16="http://schemas.microsoft.com/office/drawing/2014/main" id="{5930CD48-0AFB-4033-B631-7330D587C09A}"/>
            </a:ext>
          </a:extLst>
        </xdr:cNvPr>
        <xdr:cNvSpPr/>
      </xdr:nvSpPr>
      <xdr:spPr>
        <a:xfrm>
          <a:off x="5107103" y="291874"/>
          <a:ext cx="1642040" cy="6061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Sales</a:t>
          </a:r>
        </a:p>
      </xdr:txBody>
    </xdr:sp>
    <xdr:clientData/>
  </xdr:twoCellAnchor>
  <xdr:twoCellAnchor>
    <xdr:from>
      <xdr:col>11</xdr:col>
      <xdr:colOff>116003</xdr:colOff>
      <xdr:row>1</xdr:row>
      <xdr:rowOff>90489</xdr:rowOff>
    </xdr:from>
    <xdr:to>
      <xdr:col>13</xdr:col>
      <xdr:colOff>533400</xdr:colOff>
      <xdr:row>4</xdr:row>
      <xdr:rowOff>125186</xdr:rowOff>
    </xdr:to>
    <xdr:sp macro="" textlink="">
      <xdr:nvSpPr>
        <xdr:cNvPr id="26" name="Rectangle: Rounded Corners 25">
          <a:extLst>
            <a:ext uri="{FF2B5EF4-FFF2-40B4-BE49-F238E27FC236}">
              <a16:creationId xmlns:a16="http://schemas.microsoft.com/office/drawing/2014/main" id="{7F360C75-2256-4E6E-8752-62C504F0416B}"/>
            </a:ext>
          </a:extLst>
        </xdr:cNvPr>
        <xdr:cNvSpPr/>
      </xdr:nvSpPr>
      <xdr:spPr>
        <a:xfrm>
          <a:off x="6851539" y="280989"/>
          <a:ext cx="1642040" cy="6061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Profit</a:t>
          </a:r>
        </a:p>
      </xdr:txBody>
    </xdr:sp>
    <xdr:clientData/>
  </xdr:twoCellAnchor>
  <xdr:twoCellAnchor>
    <xdr:from>
      <xdr:col>14</xdr:col>
      <xdr:colOff>9867</xdr:colOff>
      <xdr:row>1</xdr:row>
      <xdr:rowOff>93211</xdr:rowOff>
    </xdr:from>
    <xdr:to>
      <xdr:col>16</xdr:col>
      <xdr:colOff>427264</xdr:colOff>
      <xdr:row>4</xdr:row>
      <xdr:rowOff>127908</xdr:rowOff>
    </xdr:to>
    <xdr:sp macro="" textlink="">
      <xdr:nvSpPr>
        <xdr:cNvPr id="27" name="Rectangle: Rounded Corners 26">
          <a:extLst>
            <a:ext uri="{FF2B5EF4-FFF2-40B4-BE49-F238E27FC236}">
              <a16:creationId xmlns:a16="http://schemas.microsoft.com/office/drawing/2014/main" id="{7A3CC63C-B49D-4E93-A71D-2AB3E25D2856}"/>
            </a:ext>
          </a:extLst>
        </xdr:cNvPr>
        <xdr:cNvSpPr/>
      </xdr:nvSpPr>
      <xdr:spPr>
        <a:xfrm>
          <a:off x="8582367" y="283711"/>
          <a:ext cx="1642040" cy="6061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Qty.</a:t>
          </a:r>
        </a:p>
      </xdr:txBody>
    </xdr:sp>
    <xdr:clientData/>
  </xdr:twoCellAnchor>
  <xdr:twoCellAnchor>
    <xdr:from>
      <xdr:col>11</xdr:col>
      <xdr:colOff>116002</xdr:colOff>
      <xdr:row>5</xdr:row>
      <xdr:rowOff>131311</xdr:rowOff>
    </xdr:from>
    <xdr:to>
      <xdr:col>13</xdr:col>
      <xdr:colOff>533399</xdr:colOff>
      <xdr:row>8</xdr:row>
      <xdr:rowOff>166008</xdr:rowOff>
    </xdr:to>
    <xdr:sp macro="" textlink="'Pivot Table'!O5">
      <xdr:nvSpPr>
        <xdr:cNvPr id="28" name="Rectangle: Rounded Corners 27">
          <a:extLst>
            <a:ext uri="{FF2B5EF4-FFF2-40B4-BE49-F238E27FC236}">
              <a16:creationId xmlns:a16="http://schemas.microsoft.com/office/drawing/2014/main" id="{742E670C-580D-4B3A-A80C-9F55E48B7CA0}"/>
            </a:ext>
          </a:extLst>
        </xdr:cNvPr>
        <xdr:cNvSpPr/>
      </xdr:nvSpPr>
      <xdr:spPr>
        <a:xfrm>
          <a:off x="6851538" y="1083811"/>
          <a:ext cx="1642040" cy="6061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3ABE5D1-4784-4416-A23C-2ED9E24DCFDA}" type="TxLink">
            <a:rPr lang="en-US" sz="2400" b="1">
              <a:solidFill>
                <a:schemeClr val="lt1"/>
              </a:solidFill>
              <a:latin typeface="+mn-lt"/>
              <a:ea typeface="+mn-ea"/>
              <a:cs typeface="+mn-cs"/>
            </a:rPr>
            <a:pPr marL="0" indent="0" algn="ctr"/>
            <a:t>1532557</a:t>
          </a:fld>
          <a:endParaRPr lang="en-IN" sz="2400" b="1">
            <a:solidFill>
              <a:schemeClr val="lt1"/>
            </a:solidFill>
            <a:latin typeface="+mn-lt"/>
            <a:ea typeface="+mn-ea"/>
            <a:cs typeface="+mn-cs"/>
          </a:endParaRPr>
        </a:p>
      </xdr:txBody>
    </xdr:sp>
    <xdr:clientData/>
  </xdr:twoCellAnchor>
  <xdr:twoCellAnchor>
    <xdr:from>
      <xdr:col>14</xdr:col>
      <xdr:colOff>9867</xdr:colOff>
      <xdr:row>5</xdr:row>
      <xdr:rowOff>134031</xdr:rowOff>
    </xdr:from>
    <xdr:to>
      <xdr:col>16</xdr:col>
      <xdr:colOff>427264</xdr:colOff>
      <xdr:row>8</xdr:row>
      <xdr:rowOff>168728</xdr:rowOff>
    </xdr:to>
    <xdr:sp macro="" textlink="'Pivot Table'!O6">
      <xdr:nvSpPr>
        <xdr:cNvPr id="29" name="Rectangle: Rounded Corners 28">
          <a:extLst>
            <a:ext uri="{FF2B5EF4-FFF2-40B4-BE49-F238E27FC236}">
              <a16:creationId xmlns:a16="http://schemas.microsoft.com/office/drawing/2014/main" id="{17F38DD0-8B44-467C-A838-8F91D62B0B94}"/>
            </a:ext>
          </a:extLst>
        </xdr:cNvPr>
        <xdr:cNvSpPr/>
      </xdr:nvSpPr>
      <xdr:spPr>
        <a:xfrm>
          <a:off x="8582367" y="1086531"/>
          <a:ext cx="1642040" cy="6061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AB77C9C-F4CF-449F-B68D-CBC64E3BDEBA}" type="TxLink">
            <a:rPr lang="en-US" sz="2400" b="1">
              <a:solidFill>
                <a:schemeClr val="lt1"/>
              </a:solidFill>
              <a:latin typeface="+mn-lt"/>
              <a:ea typeface="+mn-ea"/>
              <a:cs typeface="+mn-cs"/>
            </a:rPr>
            <a:pPr marL="0" indent="0" algn="ctr"/>
            <a:t>1479</a:t>
          </a:fld>
          <a:endParaRPr lang="en-IN" sz="2400" b="1">
            <a:solidFill>
              <a:schemeClr val="lt1"/>
            </a:solidFill>
            <a:latin typeface="+mn-lt"/>
            <a:ea typeface="+mn-ea"/>
            <a:cs typeface="+mn-cs"/>
          </a:endParaRPr>
        </a:p>
      </xdr:txBody>
    </xdr:sp>
    <xdr:clientData/>
  </xdr:twoCellAnchor>
  <xdr:twoCellAnchor>
    <xdr:from>
      <xdr:col>8</xdr:col>
      <xdr:colOff>211253</xdr:colOff>
      <xdr:row>5</xdr:row>
      <xdr:rowOff>131310</xdr:rowOff>
    </xdr:from>
    <xdr:to>
      <xdr:col>11</xdr:col>
      <xdr:colOff>16328</xdr:colOff>
      <xdr:row>8</xdr:row>
      <xdr:rowOff>166007</xdr:rowOff>
    </xdr:to>
    <xdr:sp macro="" textlink="'Pivot Table'!O4">
      <xdr:nvSpPr>
        <xdr:cNvPr id="30" name="Rectangle: Rounded Corners 29">
          <a:extLst>
            <a:ext uri="{FF2B5EF4-FFF2-40B4-BE49-F238E27FC236}">
              <a16:creationId xmlns:a16="http://schemas.microsoft.com/office/drawing/2014/main" id="{3DEED523-B3FB-4BF0-8DF8-429B0D97A2EE}"/>
            </a:ext>
          </a:extLst>
        </xdr:cNvPr>
        <xdr:cNvSpPr/>
      </xdr:nvSpPr>
      <xdr:spPr>
        <a:xfrm>
          <a:off x="5109824" y="1083810"/>
          <a:ext cx="1642040" cy="6061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8F65A9D-45FB-4353-A289-4F236E5DCC65}" type="TxLink">
            <a:rPr lang="en-US" sz="2400" b="1">
              <a:solidFill>
                <a:schemeClr val="lt1"/>
              </a:solidFill>
              <a:latin typeface="+mn-lt"/>
              <a:ea typeface="+mn-ea"/>
              <a:cs typeface="+mn-cs"/>
            </a:rPr>
            <a:pPr marL="0" indent="0" algn="ctr"/>
            <a:t>37227091</a:t>
          </a:fld>
          <a:endParaRPr lang="en-US" sz="2400" b="1">
            <a:solidFill>
              <a:schemeClr val="lt1"/>
            </a:solidFill>
            <a:latin typeface="+mn-lt"/>
            <a:ea typeface="+mn-ea"/>
            <a:cs typeface="+mn-cs"/>
          </a:endParaRPr>
        </a:p>
      </xdr:txBody>
    </xdr:sp>
    <xdr:clientData/>
  </xdr:twoCellAnchor>
  <xdr:twoCellAnchor>
    <xdr:from>
      <xdr:col>24</xdr:col>
      <xdr:colOff>530679</xdr:colOff>
      <xdr:row>0</xdr:row>
      <xdr:rowOff>176893</xdr:rowOff>
    </xdr:from>
    <xdr:to>
      <xdr:col>28</xdr:col>
      <xdr:colOff>136071</xdr:colOff>
      <xdr:row>13</xdr:row>
      <xdr:rowOff>136071</xdr:rowOff>
    </xdr:to>
    <xdr:sp macro="" textlink="">
      <xdr:nvSpPr>
        <xdr:cNvPr id="31" name="Rectangle 30">
          <a:extLst>
            <a:ext uri="{FF2B5EF4-FFF2-40B4-BE49-F238E27FC236}">
              <a16:creationId xmlns:a16="http://schemas.microsoft.com/office/drawing/2014/main" id="{56D92C21-197D-F39D-9ACA-95CC1F1D20AC}"/>
            </a:ext>
          </a:extLst>
        </xdr:cNvPr>
        <xdr:cNvSpPr/>
      </xdr:nvSpPr>
      <xdr:spPr>
        <a:xfrm>
          <a:off x="15226393" y="176893"/>
          <a:ext cx="2054678" cy="2435678"/>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580003</xdr:colOff>
      <xdr:row>2</xdr:row>
      <xdr:rowOff>136073</xdr:rowOff>
    </xdr:from>
    <xdr:to>
      <xdr:col>28</xdr:col>
      <xdr:colOff>149678</xdr:colOff>
      <xdr:row>11</xdr:row>
      <xdr:rowOff>122465</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A111080C-E4E7-4BB6-9758-C9BA8436D21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275717" y="517073"/>
              <a:ext cx="2018961" cy="1700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557893</xdr:colOff>
      <xdr:row>14</xdr:row>
      <xdr:rowOff>163286</xdr:rowOff>
    </xdr:from>
    <xdr:to>
      <xdr:col>28</xdr:col>
      <xdr:colOff>122464</xdr:colOff>
      <xdr:row>28</xdr:row>
      <xdr:rowOff>13607</xdr:rowOff>
    </xdr:to>
    <xdr:sp macro="" textlink="">
      <xdr:nvSpPr>
        <xdr:cNvPr id="33" name="Rectangle 32">
          <a:extLst>
            <a:ext uri="{FF2B5EF4-FFF2-40B4-BE49-F238E27FC236}">
              <a16:creationId xmlns:a16="http://schemas.microsoft.com/office/drawing/2014/main" id="{A50F794E-A03E-90C1-1887-2A80BF1DECA9}"/>
            </a:ext>
          </a:extLst>
        </xdr:cNvPr>
        <xdr:cNvSpPr/>
      </xdr:nvSpPr>
      <xdr:spPr>
        <a:xfrm>
          <a:off x="15253607" y="2830286"/>
          <a:ext cx="2013857" cy="251732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54427</xdr:colOff>
      <xdr:row>17</xdr:row>
      <xdr:rowOff>13608</xdr:rowOff>
    </xdr:from>
    <xdr:to>
      <xdr:col>28</xdr:col>
      <xdr:colOff>46263</xdr:colOff>
      <xdr:row>25</xdr:row>
      <xdr:rowOff>54430</xdr:rowOff>
    </xdr:to>
    <mc:AlternateContent xmlns:mc="http://schemas.openxmlformats.org/markup-compatibility/2006" xmlns:a14="http://schemas.microsoft.com/office/drawing/2010/main">
      <mc:Choice Requires="a14">
        <xdr:graphicFrame macro="">
          <xdr:nvGraphicFramePr>
            <xdr:cNvPr id="34" name="Region 1">
              <a:extLst>
                <a:ext uri="{FF2B5EF4-FFF2-40B4-BE49-F238E27FC236}">
                  <a16:creationId xmlns:a16="http://schemas.microsoft.com/office/drawing/2014/main" id="{465D44D9-78F3-44CB-9A0F-C169E862B84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362463" y="3252108"/>
              <a:ext cx="1828800" cy="1564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21.561724074076" createdVersion="8" refreshedVersion="8" minRefreshableVersion="3" recordCount="300" xr:uid="{142A7153-24A9-4027-B3D0-367180570484}">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741201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5DB84-B96B-4B78-AB20-273089DB03C5}"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F90668-C817-49B1-8591-414945C3FA90}"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7053A0-5705-4D24-87CA-18982779FBC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3:H12"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Total Sales" fld="7" baseField="0" baseItem="0"/>
  </dataFields>
  <chartFormats count="4">
    <chartFormat chart="2"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F7A05-B16F-4A3D-A7B9-56B12C0B7B8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 count="1" selected="0">
            <x v="0"/>
          </reference>
        </references>
      </pivotArea>
    </chartFormat>
    <chartFormat chart="5" format="18">
      <pivotArea type="data" outline="0" fieldPosition="0">
        <references count="2">
          <reference field="4294967294" count="1" selected="0">
            <x v="0"/>
          </reference>
          <reference field="2" count="1" selected="0">
            <x v="1"/>
          </reference>
        </references>
      </pivotArea>
    </chartFormat>
    <chartFormat chart="5" format="19">
      <pivotArea type="data" outline="0" fieldPosition="0">
        <references count="2">
          <reference field="4294967294" count="1" selected="0">
            <x v="0"/>
          </reference>
          <reference field="2" count="1" selected="0">
            <x v="2"/>
          </reference>
        </references>
      </pivotArea>
    </chartFormat>
    <chartFormat chart="5" format="2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5C21D1-108D-4025-8552-A0B2768755A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Sales" fld="7" baseField="0"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 count="1" selected="0">
            <x v="0"/>
          </reference>
        </references>
      </pivotArea>
    </chartFormat>
    <chartFormat chart="9" format="18">
      <pivotArea type="data" outline="0" fieldPosition="0">
        <references count="2">
          <reference field="4294967294" count="1" selected="0">
            <x v="0"/>
          </reference>
          <reference field="1" count="1" selected="0">
            <x v="1"/>
          </reference>
        </references>
      </pivotArea>
    </chartFormat>
    <chartFormat chart="9" format="19">
      <pivotArea type="data" outline="0" fieldPosition="0">
        <references count="2">
          <reference field="4294967294" count="1" selected="0">
            <x v="0"/>
          </reference>
          <reference field="1" count="1" selected="0">
            <x v="2"/>
          </reference>
        </references>
      </pivotArea>
    </chartFormat>
    <chartFormat chart="9"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E85B77-6CE8-4B2C-8D37-F0F362736E86}"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5:H26"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items count="9">
        <item x="3"/>
        <item x="2"/>
        <item x="5"/>
        <item x="7"/>
        <item x="6"/>
        <item x="4"/>
        <item x="0"/>
        <item x="1"/>
        <item t="default"/>
      </items>
    </pivotField>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Total Sales" fld="7" baseField="0" baseItem="0"/>
  </dataFields>
  <chartFormats count="2">
    <chartFormat chart="2" format="2"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8423CF-B7DD-4550-8F53-56419B470373}" sourceName="Category">
  <pivotTables>
    <pivotTable tabId="15" name="PivotTable2"/>
    <pivotTable tabId="15" name="PivotTable1"/>
    <pivotTable tabId="15" name="PivotTable3"/>
    <pivotTable tabId="15" name="PivotTable4"/>
    <pivotTable tabId="15" name="PivotTable5"/>
    <pivotTable tabId="15" name="PivotTable6"/>
  </pivotTables>
  <data>
    <tabular pivotCacheId="174120101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124933-30A4-421A-AD09-7C031C1BA456}" sourceName="Region">
  <pivotTables>
    <pivotTable tabId="15" name="PivotTable2"/>
    <pivotTable tabId="15" name="PivotTable1"/>
    <pivotTable tabId="15" name="PivotTable3"/>
    <pivotTable tabId="15" name="PivotTable4"/>
    <pivotTable tabId="15" name="PivotTable5"/>
    <pivotTable tabId="15" name="PivotTable6"/>
  </pivotTables>
  <data>
    <tabular pivotCacheId="1741201013">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752E067-8723-49E9-9781-09F7DC08F133}" cache="Slicer_Category" caption="Category" rowHeight="241300"/>
  <slicer name="Region" xr10:uid="{C4849179-D578-4D1D-83B0-9F8EA3603571}"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E934954-13A0-4C68-ACC8-6F88B8324A95}" cache="Slicer_Category" caption="Category" style="SlicerStyleDark2" rowHeight="241300"/>
  <slicer name="Region 1" xr10:uid="{20FD46D1-FE81-4B04-B81B-0EACD8515360}" cache="Slicer_Region" caption="Region"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01CB-475A-4462-99C6-DAC4EC8AED46}">
  <dimension ref="A3:O26"/>
  <sheetViews>
    <sheetView zoomScale="85" zoomScaleNormal="85" workbookViewId="0">
      <selection activeCell="A6" sqref="A6"/>
    </sheetView>
  </sheetViews>
  <sheetFormatPr defaultRowHeight="15" x14ac:dyDescent="0.25"/>
  <cols>
    <col min="1" max="1" width="13.28515625" bestFit="1" customWidth="1"/>
    <col min="2" max="2" width="12.5703125" bestFit="1" customWidth="1"/>
    <col min="4" max="4" width="13.28515625" bestFit="1" customWidth="1"/>
    <col min="5" max="5" width="15.42578125" bestFit="1" customWidth="1"/>
    <col min="7" max="7" width="13.28515625" bestFit="1" customWidth="1"/>
    <col min="8" max="8" width="17.28515625" bestFit="1" customWidth="1"/>
    <col min="9" max="9" width="9.28515625" bestFit="1" customWidth="1"/>
    <col min="10" max="10" width="8.140625" bestFit="1" customWidth="1"/>
    <col min="11" max="11" width="9.28515625" bestFit="1" customWidth="1"/>
    <col min="12" max="12" width="11.28515625" bestFit="1" customWidth="1"/>
    <col min="14" max="14" width="11.42578125" bestFit="1" customWidth="1"/>
  </cols>
  <sheetData>
    <row r="3" spans="1:15" x14ac:dyDescent="0.25">
      <c r="A3" s="2" t="s">
        <v>50</v>
      </c>
      <c r="B3" t="s">
        <v>49</v>
      </c>
      <c r="D3" s="2" t="s">
        <v>50</v>
      </c>
      <c r="E3" t="s">
        <v>49</v>
      </c>
      <c r="G3" s="2" t="s">
        <v>50</v>
      </c>
      <c r="H3" t="s">
        <v>49</v>
      </c>
    </row>
    <row r="4" spans="1:15" x14ac:dyDescent="0.25">
      <c r="A4" s="3" t="s">
        <v>24</v>
      </c>
      <c r="B4">
        <v>7492569</v>
      </c>
      <c r="D4" s="3" t="s">
        <v>9</v>
      </c>
      <c r="E4">
        <v>7639824</v>
      </c>
      <c r="G4" s="3" t="s">
        <v>20</v>
      </c>
      <c r="H4">
        <v>3411818</v>
      </c>
      <c r="N4" s="4" t="s">
        <v>45</v>
      </c>
      <c r="O4" s="5">
        <f>GETPIVOTDATA("Total Sales",$A$3)</f>
        <v>37227091</v>
      </c>
    </row>
    <row r="5" spans="1:15" x14ac:dyDescent="0.25">
      <c r="A5" s="3" t="s">
        <v>8</v>
      </c>
      <c r="B5">
        <v>10716184</v>
      </c>
      <c r="D5" s="3" t="s">
        <v>13</v>
      </c>
      <c r="E5">
        <v>7896972</v>
      </c>
      <c r="G5" s="3" t="s">
        <v>17</v>
      </c>
      <c r="H5">
        <v>4666911</v>
      </c>
      <c r="N5" s="4" t="s">
        <v>44</v>
      </c>
      <c r="O5" s="5">
        <f>GETPIVOTDATA("Profit",$A$12)</f>
        <v>1532557</v>
      </c>
    </row>
    <row r="6" spans="1:15" x14ac:dyDescent="0.25">
      <c r="A6" s="3" t="s">
        <v>21</v>
      </c>
      <c r="B6">
        <v>8149763</v>
      </c>
      <c r="D6" s="3" t="s">
        <v>19</v>
      </c>
      <c r="E6">
        <v>12943334</v>
      </c>
      <c r="G6" s="3" t="s">
        <v>26</v>
      </c>
      <c r="H6">
        <v>4615631</v>
      </c>
      <c r="N6" s="4" t="s">
        <v>51</v>
      </c>
      <c r="O6" s="5">
        <f>GETPIVOTDATA("Quantity",$D$12)</f>
        <v>1479</v>
      </c>
    </row>
    <row r="7" spans="1:15" x14ac:dyDescent="0.25">
      <c r="A7" s="3" t="s">
        <v>12</v>
      </c>
      <c r="B7">
        <v>10868575</v>
      </c>
      <c r="D7" s="3" t="s">
        <v>16</v>
      </c>
      <c r="E7">
        <v>8746961</v>
      </c>
      <c r="G7" s="3" t="s">
        <v>30</v>
      </c>
      <c r="H7">
        <v>4302479</v>
      </c>
    </row>
    <row r="8" spans="1:15" x14ac:dyDescent="0.25">
      <c r="A8" s="3" t="s">
        <v>33</v>
      </c>
      <c r="B8">
        <v>37227091</v>
      </c>
      <c r="D8" s="3" t="s">
        <v>33</v>
      </c>
      <c r="E8">
        <v>37227091</v>
      </c>
      <c r="G8" s="3" t="s">
        <v>28</v>
      </c>
      <c r="H8">
        <v>4820115</v>
      </c>
    </row>
    <row r="9" spans="1:15" x14ac:dyDescent="0.25">
      <c r="G9" s="3" t="s">
        <v>25</v>
      </c>
      <c r="H9">
        <v>4905424</v>
      </c>
    </row>
    <row r="10" spans="1:15" x14ac:dyDescent="0.25">
      <c r="G10" s="3" t="s">
        <v>10</v>
      </c>
      <c r="H10">
        <v>5906260</v>
      </c>
    </row>
    <row r="11" spans="1:15" x14ac:dyDescent="0.25">
      <c r="G11" s="3" t="s">
        <v>14</v>
      </c>
      <c r="H11">
        <v>4598453</v>
      </c>
    </row>
    <row r="12" spans="1:15" x14ac:dyDescent="0.25">
      <c r="A12" s="2" t="s">
        <v>50</v>
      </c>
      <c r="B12" t="s">
        <v>47</v>
      </c>
      <c r="D12" s="2" t="s">
        <v>50</v>
      </c>
      <c r="E12" t="s">
        <v>46</v>
      </c>
      <c r="G12" s="3" t="s">
        <v>33</v>
      </c>
      <c r="H12">
        <v>37227091</v>
      </c>
    </row>
    <row r="13" spans="1:15" x14ac:dyDescent="0.25">
      <c r="A13" s="3" t="s">
        <v>24</v>
      </c>
      <c r="B13">
        <v>317371.19999999984</v>
      </c>
      <c r="D13" s="3" t="s">
        <v>24</v>
      </c>
      <c r="E13">
        <v>307</v>
      </c>
    </row>
    <row r="14" spans="1:15" x14ac:dyDescent="0.25">
      <c r="A14" s="3" t="s">
        <v>8</v>
      </c>
      <c r="B14">
        <v>415591.40000000008</v>
      </c>
      <c r="D14" s="3" t="s">
        <v>8</v>
      </c>
      <c r="E14">
        <v>393</v>
      </c>
    </row>
    <row r="15" spans="1:15" x14ac:dyDescent="0.25">
      <c r="A15" s="3" t="s">
        <v>21</v>
      </c>
      <c r="B15">
        <v>369859.39999999997</v>
      </c>
      <c r="D15" s="3" t="s">
        <v>21</v>
      </c>
      <c r="E15">
        <v>363</v>
      </c>
      <c r="G15" s="2" t="s">
        <v>50</v>
      </c>
      <c r="H15" t="s">
        <v>49</v>
      </c>
    </row>
    <row r="16" spans="1:15" x14ac:dyDescent="0.25">
      <c r="A16" s="3" t="s">
        <v>12</v>
      </c>
      <c r="B16">
        <v>429735.00000000017</v>
      </c>
      <c r="D16" s="3" t="s">
        <v>12</v>
      </c>
      <c r="E16">
        <v>416</v>
      </c>
      <c r="G16" s="3" t="s">
        <v>34</v>
      </c>
      <c r="H16">
        <v>4046530</v>
      </c>
    </row>
    <row r="17" spans="1:8" x14ac:dyDescent="0.25">
      <c r="A17" s="3" t="s">
        <v>33</v>
      </c>
      <c r="B17">
        <v>1532557</v>
      </c>
      <c r="D17" s="3" t="s">
        <v>33</v>
      </c>
      <c r="E17">
        <v>1479</v>
      </c>
      <c r="G17" s="3" t="s">
        <v>35</v>
      </c>
      <c r="H17">
        <v>3464433</v>
      </c>
    </row>
    <row r="18" spans="1:8" x14ac:dyDescent="0.25">
      <c r="G18" s="3" t="s">
        <v>36</v>
      </c>
      <c r="H18">
        <v>3715672</v>
      </c>
    </row>
    <row r="19" spans="1:8" x14ac:dyDescent="0.25">
      <c r="G19" s="3" t="s">
        <v>37</v>
      </c>
      <c r="H19">
        <v>3300867</v>
      </c>
    </row>
    <row r="20" spans="1:8" x14ac:dyDescent="0.25">
      <c r="G20" s="3" t="s">
        <v>38</v>
      </c>
      <c r="H20">
        <v>4461095</v>
      </c>
    </row>
    <row r="21" spans="1:8" x14ac:dyDescent="0.25">
      <c r="G21" s="3" t="s">
        <v>39</v>
      </c>
      <c r="H21">
        <v>3463484</v>
      </c>
    </row>
    <row r="22" spans="1:8" x14ac:dyDescent="0.25">
      <c r="G22" s="3" t="s">
        <v>40</v>
      </c>
      <c r="H22">
        <v>3323401</v>
      </c>
    </row>
    <row r="23" spans="1:8" x14ac:dyDescent="0.25">
      <c r="G23" s="3" t="s">
        <v>41</v>
      </c>
      <c r="H23">
        <v>4289705</v>
      </c>
    </row>
    <row r="24" spans="1:8" x14ac:dyDescent="0.25">
      <c r="G24" s="3" t="s">
        <v>42</v>
      </c>
      <c r="H24">
        <v>3898469</v>
      </c>
    </row>
    <row r="25" spans="1:8" x14ac:dyDescent="0.25">
      <c r="G25" s="3" t="s">
        <v>43</v>
      </c>
      <c r="H25">
        <v>3263435</v>
      </c>
    </row>
    <row r="26" spans="1:8" x14ac:dyDescent="0.25">
      <c r="G26" s="3" t="s">
        <v>33</v>
      </c>
      <c r="H26">
        <v>37227091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17C1-BD51-4AD9-BC72-549F3D7B19D3}">
  <dimension ref="A1"/>
  <sheetViews>
    <sheetView showGridLines="0" workbookViewId="0">
      <selection activeCell="U3" sqref="U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C543-47DC-4839-B670-B0E8D0215FFC}">
  <dimension ref="A1"/>
  <sheetViews>
    <sheetView showGridLines="0" tabSelected="1" zoomScale="70" zoomScaleNormal="70" workbookViewId="0">
      <selection activeCell="AC19" sqref="AC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 zoomScale="145" zoomScaleNormal="145" workbookViewId="0">
      <selection sqref="A1:I301"/>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12" bestFit="1" customWidth="1"/>
    <col min="7" max="7" width="10.7109375" bestFit="1" customWidth="1"/>
    <col min="8" max="8" width="12.7109375" bestFit="1" customWidth="1"/>
    <col min="9" max="9" width="8.28515625" bestFit="1" customWidth="1"/>
  </cols>
  <sheetData>
    <row r="1" spans="1:9" x14ac:dyDescent="0.25">
      <c r="A1" t="s">
        <v>0</v>
      </c>
      <c r="B1" t="s">
        <v>1</v>
      </c>
      <c r="C1" t="s">
        <v>2</v>
      </c>
      <c r="D1" t="s">
        <v>3</v>
      </c>
      <c r="E1" t="s">
        <v>4</v>
      </c>
      <c r="F1" t="s">
        <v>48</v>
      </c>
      <c r="G1" t="s">
        <v>5</v>
      </c>
      <c r="H1" t="s">
        <v>45</v>
      </c>
      <c r="I1" t="s">
        <v>6</v>
      </c>
    </row>
    <row r="2" spans="1:9" x14ac:dyDescent="0.25">
      <c r="A2" t="s">
        <v>7</v>
      </c>
      <c r="B2" t="s">
        <v>8</v>
      </c>
      <c r="C2" t="s">
        <v>9</v>
      </c>
      <c r="D2" t="s">
        <v>10</v>
      </c>
      <c r="E2">
        <v>1</v>
      </c>
      <c r="F2">
        <v>13875</v>
      </c>
      <c r="G2" s="1">
        <v>44927</v>
      </c>
      <c r="H2">
        <v>13875</v>
      </c>
      <c r="I2">
        <v>2775</v>
      </c>
    </row>
    <row r="3" spans="1:9" x14ac:dyDescent="0.25">
      <c r="A3" t="s">
        <v>11</v>
      </c>
      <c r="B3" t="s">
        <v>12</v>
      </c>
      <c r="C3" t="s">
        <v>13</v>
      </c>
      <c r="D3" t="s">
        <v>14</v>
      </c>
      <c r="E3">
        <v>6</v>
      </c>
      <c r="F3">
        <v>2622</v>
      </c>
      <c r="G3" s="1">
        <v>44928</v>
      </c>
      <c r="H3">
        <v>15732</v>
      </c>
      <c r="I3">
        <v>524.4</v>
      </c>
    </row>
    <row r="4" spans="1:9" x14ac:dyDescent="0.25">
      <c r="A4" t="s">
        <v>15</v>
      </c>
      <c r="B4" t="s">
        <v>8</v>
      </c>
      <c r="C4" t="s">
        <v>16</v>
      </c>
      <c r="D4" t="s">
        <v>17</v>
      </c>
      <c r="E4">
        <v>5</v>
      </c>
      <c r="F4">
        <v>49756</v>
      </c>
      <c r="G4" s="1">
        <v>44929</v>
      </c>
      <c r="H4">
        <v>248780</v>
      </c>
      <c r="I4">
        <v>9951.2000000000007</v>
      </c>
    </row>
    <row r="5" spans="1:9" x14ac:dyDescent="0.25">
      <c r="A5" t="s">
        <v>18</v>
      </c>
      <c r="B5" t="s">
        <v>8</v>
      </c>
      <c r="C5" t="s">
        <v>19</v>
      </c>
      <c r="D5" t="s">
        <v>20</v>
      </c>
      <c r="E5">
        <v>4</v>
      </c>
      <c r="F5">
        <v>41809</v>
      </c>
      <c r="G5" s="1">
        <v>44930</v>
      </c>
      <c r="H5">
        <v>167236</v>
      </c>
      <c r="I5">
        <v>8361.7999999999993</v>
      </c>
    </row>
    <row r="6" spans="1:9" x14ac:dyDescent="0.25">
      <c r="A6" t="s">
        <v>7</v>
      </c>
      <c r="B6" t="s">
        <v>21</v>
      </c>
      <c r="C6" t="s">
        <v>16</v>
      </c>
      <c r="D6" t="s">
        <v>17</v>
      </c>
      <c r="E6">
        <v>3</v>
      </c>
      <c r="F6">
        <v>17725</v>
      </c>
      <c r="G6" s="1">
        <v>44931</v>
      </c>
      <c r="H6">
        <v>53175</v>
      </c>
      <c r="I6">
        <v>3545</v>
      </c>
    </row>
    <row r="7" spans="1:9" x14ac:dyDescent="0.25">
      <c r="A7" t="s">
        <v>22</v>
      </c>
      <c r="B7" t="s">
        <v>8</v>
      </c>
      <c r="C7" t="s">
        <v>19</v>
      </c>
      <c r="D7" t="s">
        <v>10</v>
      </c>
      <c r="E7">
        <v>1</v>
      </c>
      <c r="F7">
        <v>41760</v>
      </c>
      <c r="G7" s="1">
        <v>44932</v>
      </c>
      <c r="H7">
        <v>41760</v>
      </c>
      <c r="I7">
        <v>8352</v>
      </c>
    </row>
    <row r="8" spans="1:9" x14ac:dyDescent="0.25">
      <c r="A8" t="s">
        <v>23</v>
      </c>
      <c r="B8" t="s">
        <v>24</v>
      </c>
      <c r="C8" t="s">
        <v>9</v>
      </c>
      <c r="D8" t="s">
        <v>10</v>
      </c>
      <c r="E8">
        <v>6</v>
      </c>
      <c r="F8">
        <v>16646</v>
      </c>
      <c r="G8" s="1">
        <v>44933</v>
      </c>
      <c r="H8">
        <v>99876</v>
      </c>
      <c r="I8">
        <v>3329.2</v>
      </c>
    </row>
    <row r="9" spans="1:9" x14ac:dyDescent="0.25">
      <c r="A9" t="s">
        <v>7</v>
      </c>
      <c r="B9" t="s">
        <v>24</v>
      </c>
      <c r="C9" t="s">
        <v>19</v>
      </c>
      <c r="D9" t="s">
        <v>10</v>
      </c>
      <c r="E9">
        <v>2</v>
      </c>
      <c r="F9">
        <v>18029</v>
      </c>
      <c r="G9" s="1">
        <v>44934</v>
      </c>
      <c r="H9">
        <v>36058</v>
      </c>
      <c r="I9">
        <v>3605.8</v>
      </c>
    </row>
    <row r="10" spans="1:9" x14ac:dyDescent="0.25">
      <c r="A10" t="s">
        <v>15</v>
      </c>
      <c r="B10" t="s">
        <v>12</v>
      </c>
      <c r="C10" t="s">
        <v>9</v>
      </c>
      <c r="D10" t="s">
        <v>25</v>
      </c>
      <c r="E10">
        <v>8</v>
      </c>
      <c r="F10">
        <v>30402</v>
      </c>
      <c r="G10" s="1">
        <v>44935</v>
      </c>
      <c r="H10">
        <v>243216</v>
      </c>
      <c r="I10">
        <v>6080.4</v>
      </c>
    </row>
    <row r="11" spans="1:9" x14ac:dyDescent="0.25">
      <c r="A11" t="s">
        <v>18</v>
      </c>
      <c r="B11" t="s">
        <v>8</v>
      </c>
      <c r="C11" t="s">
        <v>19</v>
      </c>
      <c r="D11" t="s">
        <v>25</v>
      </c>
      <c r="E11">
        <v>5</v>
      </c>
      <c r="F11">
        <v>5263</v>
      </c>
      <c r="G11" s="1">
        <v>44936</v>
      </c>
      <c r="H11">
        <v>26315</v>
      </c>
      <c r="I11">
        <v>1052.5999999999999</v>
      </c>
    </row>
    <row r="12" spans="1:9" x14ac:dyDescent="0.25">
      <c r="A12" t="s">
        <v>11</v>
      </c>
      <c r="B12" t="s">
        <v>12</v>
      </c>
      <c r="C12" t="s">
        <v>9</v>
      </c>
      <c r="D12" t="s">
        <v>26</v>
      </c>
      <c r="E12">
        <v>7</v>
      </c>
      <c r="F12">
        <v>31987</v>
      </c>
      <c r="G12" s="1">
        <v>44937</v>
      </c>
      <c r="H12">
        <v>223909</v>
      </c>
      <c r="I12">
        <v>6397.4</v>
      </c>
    </row>
    <row r="13" spans="1:9" x14ac:dyDescent="0.25">
      <c r="A13" t="s">
        <v>15</v>
      </c>
      <c r="B13" t="s">
        <v>24</v>
      </c>
      <c r="C13" t="s">
        <v>19</v>
      </c>
      <c r="D13" t="s">
        <v>26</v>
      </c>
      <c r="E13">
        <v>2</v>
      </c>
      <c r="F13">
        <v>47828</v>
      </c>
      <c r="G13" s="1">
        <v>44938</v>
      </c>
      <c r="H13">
        <v>95656</v>
      </c>
      <c r="I13">
        <v>9565.6</v>
      </c>
    </row>
    <row r="14" spans="1:9" x14ac:dyDescent="0.25">
      <c r="A14" t="s">
        <v>15</v>
      </c>
      <c r="B14" t="s">
        <v>8</v>
      </c>
      <c r="C14" t="s">
        <v>13</v>
      </c>
      <c r="D14" t="s">
        <v>10</v>
      </c>
      <c r="E14">
        <v>8</v>
      </c>
      <c r="F14">
        <v>48924</v>
      </c>
      <c r="G14" s="1">
        <v>44939</v>
      </c>
      <c r="H14">
        <v>391392</v>
      </c>
      <c r="I14">
        <v>9784.7999999999993</v>
      </c>
    </row>
    <row r="15" spans="1:9" x14ac:dyDescent="0.25">
      <c r="A15" t="s">
        <v>23</v>
      </c>
      <c r="B15" t="s">
        <v>8</v>
      </c>
      <c r="C15" t="s">
        <v>19</v>
      </c>
      <c r="D15" t="s">
        <v>14</v>
      </c>
      <c r="E15">
        <v>2</v>
      </c>
      <c r="F15">
        <v>9646</v>
      </c>
      <c r="G15" s="1">
        <v>44940</v>
      </c>
      <c r="H15">
        <v>19292</v>
      </c>
      <c r="I15">
        <v>1929.2</v>
      </c>
    </row>
    <row r="16" spans="1:9" x14ac:dyDescent="0.25">
      <c r="A16" t="s">
        <v>27</v>
      </c>
      <c r="B16" t="s">
        <v>12</v>
      </c>
      <c r="C16" t="s">
        <v>19</v>
      </c>
      <c r="D16" t="s">
        <v>28</v>
      </c>
      <c r="E16">
        <v>4</v>
      </c>
      <c r="F16">
        <v>28529</v>
      </c>
      <c r="G16" s="1">
        <v>44941</v>
      </c>
      <c r="H16">
        <v>114116</v>
      </c>
      <c r="I16">
        <v>5705.8</v>
      </c>
    </row>
    <row r="17" spans="1:9" x14ac:dyDescent="0.25">
      <c r="A17" t="s">
        <v>18</v>
      </c>
      <c r="B17" t="s">
        <v>24</v>
      </c>
      <c r="C17" t="s">
        <v>13</v>
      </c>
      <c r="D17" t="s">
        <v>25</v>
      </c>
      <c r="E17">
        <v>1</v>
      </c>
      <c r="F17">
        <v>12664</v>
      </c>
      <c r="G17" s="1">
        <v>44942</v>
      </c>
      <c r="H17">
        <v>12664</v>
      </c>
      <c r="I17">
        <v>2532.8000000000002</v>
      </c>
    </row>
    <row r="18" spans="1:9" x14ac:dyDescent="0.25">
      <c r="A18" t="s">
        <v>29</v>
      </c>
      <c r="B18" t="s">
        <v>8</v>
      </c>
      <c r="C18" t="s">
        <v>16</v>
      </c>
      <c r="D18" t="s">
        <v>14</v>
      </c>
      <c r="E18">
        <v>5</v>
      </c>
      <c r="F18">
        <v>36737</v>
      </c>
      <c r="G18" s="1">
        <v>44943</v>
      </c>
      <c r="H18">
        <v>183685</v>
      </c>
      <c r="I18">
        <v>7347.4</v>
      </c>
    </row>
    <row r="19" spans="1:9" x14ac:dyDescent="0.25">
      <c r="A19" t="s">
        <v>15</v>
      </c>
      <c r="B19" t="s">
        <v>12</v>
      </c>
      <c r="C19" t="s">
        <v>16</v>
      </c>
      <c r="D19" t="s">
        <v>30</v>
      </c>
      <c r="E19">
        <v>9</v>
      </c>
      <c r="F19">
        <v>36796</v>
      </c>
      <c r="G19" s="1">
        <v>44944</v>
      </c>
      <c r="H19">
        <v>331164</v>
      </c>
      <c r="I19">
        <v>7359.2</v>
      </c>
    </row>
    <row r="20" spans="1:9" x14ac:dyDescent="0.25">
      <c r="A20" t="s">
        <v>27</v>
      </c>
      <c r="B20" t="s">
        <v>24</v>
      </c>
      <c r="C20" t="s">
        <v>19</v>
      </c>
      <c r="D20" t="s">
        <v>25</v>
      </c>
      <c r="E20">
        <v>1</v>
      </c>
      <c r="F20">
        <v>25027</v>
      </c>
      <c r="G20" s="1">
        <v>44945</v>
      </c>
      <c r="H20">
        <v>25027</v>
      </c>
      <c r="I20">
        <v>5005.3999999999996</v>
      </c>
    </row>
    <row r="21" spans="1:9" x14ac:dyDescent="0.25">
      <c r="A21" t="s">
        <v>29</v>
      </c>
      <c r="B21" t="s">
        <v>12</v>
      </c>
      <c r="C21" t="s">
        <v>13</v>
      </c>
      <c r="D21" t="s">
        <v>25</v>
      </c>
      <c r="E21">
        <v>9</v>
      </c>
      <c r="F21">
        <v>30373</v>
      </c>
      <c r="G21" s="1">
        <v>44946</v>
      </c>
      <c r="H21">
        <v>273357</v>
      </c>
      <c r="I21">
        <v>6074.6</v>
      </c>
    </row>
    <row r="22" spans="1:9" x14ac:dyDescent="0.25">
      <c r="A22" t="s">
        <v>18</v>
      </c>
      <c r="B22" t="s">
        <v>21</v>
      </c>
      <c r="C22" t="s">
        <v>19</v>
      </c>
      <c r="D22" t="s">
        <v>26</v>
      </c>
      <c r="E22">
        <v>8</v>
      </c>
      <c r="F22">
        <v>37397</v>
      </c>
      <c r="G22" s="1">
        <v>44947</v>
      </c>
      <c r="H22">
        <v>299176</v>
      </c>
      <c r="I22">
        <v>7479.4</v>
      </c>
    </row>
    <row r="23" spans="1:9" x14ac:dyDescent="0.25">
      <c r="A23" t="s">
        <v>31</v>
      </c>
      <c r="B23" t="s">
        <v>8</v>
      </c>
      <c r="C23" t="s">
        <v>9</v>
      </c>
      <c r="D23" t="s">
        <v>28</v>
      </c>
      <c r="E23">
        <v>6</v>
      </c>
      <c r="F23">
        <v>21609</v>
      </c>
      <c r="G23" s="1">
        <v>44948</v>
      </c>
      <c r="H23">
        <v>129654</v>
      </c>
      <c r="I23">
        <v>4321.8</v>
      </c>
    </row>
    <row r="24" spans="1:9" x14ac:dyDescent="0.25">
      <c r="A24" t="s">
        <v>22</v>
      </c>
      <c r="B24" t="s">
        <v>21</v>
      </c>
      <c r="C24" t="s">
        <v>9</v>
      </c>
      <c r="D24" t="s">
        <v>28</v>
      </c>
      <c r="E24">
        <v>7</v>
      </c>
      <c r="F24">
        <v>36835</v>
      </c>
      <c r="G24" s="1">
        <v>44949</v>
      </c>
      <c r="H24">
        <v>257845</v>
      </c>
      <c r="I24">
        <v>7367</v>
      </c>
    </row>
    <row r="25" spans="1:9" x14ac:dyDescent="0.25">
      <c r="A25" t="s">
        <v>27</v>
      </c>
      <c r="B25" t="s">
        <v>24</v>
      </c>
      <c r="C25" t="s">
        <v>19</v>
      </c>
      <c r="D25" t="s">
        <v>20</v>
      </c>
      <c r="E25">
        <v>3</v>
      </c>
      <c r="F25">
        <v>39709</v>
      </c>
      <c r="G25" s="1">
        <v>44950</v>
      </c>
      <c r="H25">
        <v>119127</v>
      </c>
      <c r="I25">
        <v>7941.8</v>
      </c>
    </row>
    <row r="26" spans="1:9" x14ac:dyDescent="0.25">
      <c r="A26" t="s">
        <v>32</v>
      </c>
      <c r="B26" t="s">
        <v>21</v>
      </c>
      <c r="C26" t="s">
        <v>16</v>
      </c>
      <c r="D26" t="s">
        <v>17</v>
      </c>
      <c r="E26">
        <v>1</v>
      </c>
      <c r="F26">
        <v>20250</v>
      </c>
      <c r="G26" s="1">
        <v>44951</v>
      </c>
      <c r="H26">
        <v>20250</v>
      </c>
      <c r="I26">
        <v>4050</v>
      </c>
    </row>
    <row r="27" spans="1:9" x14ac:dyDescent="0.25">
      <c r="A27" t="s">
        <v>31</v>
      </c>
      <c r="B27" t="s">
        <v>21</v>
      </c>
      <c r="C27" t="s">
        <v>16</v>
      </c>
      <c r="D27" t="s">
        <v>17</v>
      </c>
      <c r="E27">
        <v>5</v>
      </c>
      <c r="F27">
        <v>22172</v>
      </c>
      <c r="G27" s="1">
        <v>44952</v>
      </c>
      <c r="H27">
        <v>110860</v>
      </c>
      <c r="I27">
        <v>4434.3999999999996</v>
      </c>
    </row>
    <row r="28" spans="1:9" x14ac:dyDescent="0.25">
      <c r="A28" t="s">
        <v>22</v>
      </c>
      <c r="B28" t="s">
        <v>24</v>
      </c>
      <c r="C28" t="s">
        <v>19</v>
      </c>
      <c r="D28" t="s">
        <v>17</v>
      </c>
      <c r="E28">
        <v>2</v>
      </c>
      <c r="F28">
        <v>12555</v>
      </c>
      <c r="G28" s="1">
        <v>44953</v>
      </c>
      <c r="H28">
        <v>25110</v>
      </c>
      <c r="I28">
        <v>2511</v>
      </c>
    </row>
    <row r="29" spans="1:9" x14ac:dyDescent="0.25">
      <c r="A29" t="s">
        <v>23</v>
      </c>
      <c r="B29" t="s">
        <v>12</v>
      </c>
      <c r="C29" t="s">
        <v>19</v>
      </c>
      <c r="D29" t="s">
        <v>17</v>
      </c>
      <c r="E29">
        <v>5</v>
      </c>
      <c r="F29">
        <v>22874</v>
      </c>
      <c r="G29" s="1">
        <v>44954</v>
      </c>
      <c r="H29">
        <v>114370</v>
      </c>
      <c r="I29">
        <v>4574.8</v>
      </c>
    </row>
    <row r="30" spans="1:9" x14ac:dyDescent="0.25">
      <c r="A30" t="s">
        <v>7</v>
      </c>
      <c r="B30" t="s">
        <v>21</v>
      </c>
      <c r="C30" t="s">
        <v>9</v>
      </c>
      <c r="D30" t="s">
        <v>30</v>
      </c>
      <c r="E30">
        <v>8</v>
      </c>
      <c r="F30">
        <v>14081</v>
      </c>
      <c r="G30" s="1">
        <v>44955</v>
      </c>
      <c r="H30">
        <v>112648</v>
      </c>
      <c r="I30">
        <v>2816.2</v>
      </c>
    </row>
    <row r="31" spans="1:9" x14ac:dyDescent="0.25">
      <c r="A31" t="s">
        <v>11</v>
      </c>
      <c r="B31" t="s">
        <v>12</v>
      </c>
      <c r="C31" t="s">
        <v>16</v>
      </c>
      <c r="D31" t="s">
        <v>30</v>
      </c>
      <c r="E31">
        <v>9</v>
      </c>
      <c r="F31">
        <v>25063</v>
      </c>
      <c r="G31" s="1">
        <v>44956</v>
      </c>
      <c r="H31">
        <v>225567</v>
      </c>
      <c r="I31">
        <v>5012.6000000000004</v>
      </c>
    </row>
    <row r="32" spans="1:9" x14ac:dyDescent="0.25">
      <c r="A32" t="s">
        <v>32</v>
      </c>
      <c r="B32" t="s">
        <v>21</v>
      </c>
      <c r="C32" t="s">
        <v>19</v>
      </c>
      <c r="D32" t="s">
        <v>25</v>
      </c>
      <c r="E32">
        <v>2</v>
      </c>
      <c r="F32">
        <v>7819</v>
      </c>
      <c r="G32" s="1">
        <v>44957</v>
      </c>
      <c r="H32">
        <v>15638</v>
      </c>
      <c r="I32">
        <v>1563.8</v>
      </c>
    </row>
    <row r="33" spans="1:9" x14ac:dyDescent="0.25">
      <c r="A33" t="s">
        <v>23</v>
      </c>
      <c r="B33" t="s">
        <v>12</v>
      </c>
      <c r="C33" t="s">
        <v>9</v>
      </c>
      <c r="D33" t="s">
        <v>10</v>
      </c>
      <c r="E33">
        <v>3</v>
      </c>
      <c r="F33">
        <v>26712</v>
      </c>
      <c r="G33" s="1">
        <v>44958</v>
      </c>
      <c r="H33">
        <v>80136</v>
      </c>
      <c r="I33">
        <v>5342.4</v>
      </c>
    </row>
    <row r="34" spans="1:9" x14ac:dyDescent="0.25">
      <c r="A34" t="s">
        <v>18</v>
      </c>
      <c r="B34" t="s">
        <v>24</v>
      </c>
      <c r="C34" t="s">
        <v>16</v>
      </c>
      <c r="D34" t="s">
        <v>26</v>
      </c>
      <c r="E34">
        <v>3</v>
      </c>
      <c r="F34">
        <v>25762</v>
      </c>
      <c r="G34" s="1">
        <v>44959</v>
      </c>
      <c r="H34">
        <v>77286</v>
      </c>
      <c r="I34">
        <v>5152.3999999999996</v>
      </c>
    </row>
    <row r="35" spans="1:9" x14ac:dyDescent="0.25">
      <c r="A35" t="s">
        <v>23</v>
      </c>
      <c r="B35" t="s">
        <v>21</v>
      </c>
      <c r="C35" t="s">
        <v>13</v>
      </c>
      <c r="D35" t="s">
        <v>26</v>
      </c>
      <c r="E35">
        <v>1</v>
      </c>
      <c r="F35">
        <v>12046</v>
      </c>
      <c r="G35" s="1">
        <v>44960</v>
      </c>
      <c r="H35">
        <v>12046</v>
      </c>
      <c r="I35">
        <v>2409.1999999999998</v>
      </c>
    </row>
    <row r="36" spans="1:9" x14ac:dyDescent="0.25">
      <c r="A36" t="s">
        <v>7</v>
      </c>
      <c r="B36" t="s">
        <v>24</v>
      </c>
      <c r="C36" t="s">
        <v>9</v>
      </c>
      <c r="D36" t="s">
        <v>17</v>
      </c>
      <c r="E36">
        <v>8</v>
      </c>
      <c r="F36">
        <v>32463</v>
      </c>
      <c r="G36" s="1">
        <v>44961</v>
      </c>
      <c r="H36">
        <v>259704</v>
      </c>
      <c r="I36">
        <v>6492.6</v>
      </c>
    </row>
    <row r="37" spans="1:9" x14ac:dyDescent="0.25">
      <c r="A37" t="s">
        <v>18</v>
      </c>
      <c r="B37" t="s">
        <v>21</v>
      </c>
      <c r="C37" t="s">
        <v>16</v>
      </c>
      <c r="D37" t="s">
        <v>25</v>
      </c>
      <c r="E37">
        <v>6</v>
      </c>
      <c r="F37">
        <v>29769</v>
      </c>
      <c r="G37" s="1">
        <v>44962</v>
      </c>
      <c r="H37">
        <v>178614</v>
      </c>
      <c r="I37">
        <v>5953.8</v>
      </c>
    </row>
    <row r="38" spans="1:9" x14ac:dyDescent="0.25">
      <c r="A38" t="s">
        <v>32</v>
      </c>
      <c r="B38" t="s">
        <v>24</v>
      </c>
      <c r="C38" t="s">
        <v>16</v>
      </c>
      <c r="D38" t="s">
        <v>20</v>
      </c>
      <c r="E38">
        <v>8</v>
      </c>
      <c r="F38">
        <v>24150</v>
      </c>
      <c r="G38" s="1">
        <v>44963</v>
      </c>
      <c r="H38">
        <v>193200</v>
      </c>
      <c r="I38">
        <v>4830</v>
      </c>
    </row>
    <row r="39" spans="1:9" x14ac:dyDescent="0.25">
      <c r="A39" t="s">
        <v>7</v>
      </c>
      <c r="B39" t="s">
        <v>24</v>
      </c>
      <c r="C39" t="s">
        <v>9</v>
      </c>
      <c r="D39" t="s">
        <v>14</v>
      </c>
      <c r="E39">
        <v>9</v>
      </c>
      <c r="F39">
        <v>3711</v>
      </c>
      <c r="G39" s="1">
        <v>44964</v>
      </c>
      <c r="H39">
        <v>33399</v>
      </c>
      <c r="I39">
        <v>742.2</v>
      </c>
    </row>
    <row r="40" spans="1:9" x14ac:dyDescent="0.25">
      <c r="A40" t="s">
        <v>29</v>
      </c>
      <c r="B40" t="s">
        <v>21</v>
      </c>
      <c r="C40" t="s">
        <v>13</v>
      </c>
      <c r="D40" t="s">
        <v>10</v>
      </c>
      <c r="E40">
        <v>5</v>
      </c>
      <c r="F40">
        <v>5853</v>
      </c>
      <c r="G40" s="1">
        <v>44965</v>
      </c>
      <c r="H40">
        <v>29265</v>
      </c>
      <c r="I40">
        <v>1170.5999999999999</v>
      </c>
    </row>
    <row r="41" spans="1:9" x14ac:dyDescent="0.25">
      <c r="A41" t="s">
        <v>11</v>
      </c>
      <c r="B41" t="s">
        <v>21</v>
      </c>
      <c r="C41" t="s">
        <v>9</v>
      </c>
      <c r="D41" t="s">
        <v>25</v>
      </c>
      <c r="E41">
        <v>3</v>
      </c>
      <c r="F41">
        <v>30077</v>
      </c>
      <c r="G41" s="1">
        <v>44966</v>
      </c>
      <c r="H41">
        <v>90231</v>
      </c>
      <c r="I41">
        <v>6015.4</v>
      </c>
    </row>
    <row r="42" spans="1:9" x14ac:dyDescent="0.25">
      <c r="A42" t="s">
        <v>32</v>
      </c>
      <c r="B42" t="s">
        <v>21</v>
      </c>
      <c r="C42" t="s">
        <v>16</v>
      </c>
      <c r="D42" t="s">
        <v>10</v>
      </c>
      <c r="E42">
        <v>5</v>
      </c>
      <c r="F42">
        <v>24863</v>
      </c>
      <c r="G42" s="1">
        <v>44967</v>
      </c>
      <c r="H42">
        <v>124315</v>
      </c>
      <c r="I42">
        <v>4972.6000000000004</v>
      </c>
    </row>
    <row r="43" spans="1:9" x14ac:dyDescent="0.25">
      <c r="A43" t="s">
        <v>29</v>
      </c>
      <c r="B43" t="s">
        <v>8</v>
      </c>
      <c r="C43" t="s">
        <v>19</v>
      </c>
      <c r="D43" t="s">
        <v>10</v>
      </c>
      <c r="E43">
        <v>5</v>
      </c>
      <c r="F43">
        <v>22792</v>
      </c>
      <c r="G43" s="1">
        <v>44968</v>
      </c>
      <c r="H43">
        <v>113960</v>
      </c>
      <c r="I43">
        <v>4558.3999999999996</v>
      </c>
    </row>
    <row r="44" spans="1:9" x14ac:dyDescent="0.25">
      <c r="A44" t="s">
        <v>22</v>
      </c>
      <c r="B44" t="s">
        <v>12</v>
      </c>
      <c r="C44" t="s">
        <v>19</v>
      </c>
      <c r="D44" t="s">
        <v>10</v>
      </c>
      <c r="E44">
        <v>5</v>
      </c>
      <c r="F44">
        <v>41483</v>
      </c>
      <c r="G44" s="1">
        <v>44969</v>
      </c>
      <c r="H44">
        <v>207415</v>
      </c>
      <c r="I44">
        <v>8296.6</v>
      </c>
    </row>
    <row r="45" spans="1:9" x14ac:dyDescent="0.25">
      <c r="A45" t="s">
        <v>32</v>
      </c>
      <c r="B45" t="s">
        <v>8</v>
      </c>
      <c r="C45" t="s">
        <v>9</v>
      </c>
      <c r="D45" t="s">
        <v>25</v>
      </c>
      <c r="E45">
        <v>3</v>
      </c>
      <c r="F45">
        <v>9942</v>
      </c>
      <c r="G45" s="1">
        <v>44970</v>
      </c>
      <c r="H45">
        <v>29826</v>
      </c>
      <c r="I45">
        <v>1988.4</v>
      </c>
    </row>
    <row r="46" spans="1:9" x14ac:dyDescent="0.25">
      <c r="A46" t="s">
        <v>22</v>
      </c>
      <c r="B46" t="s">
        <v>8</v>
      </c>
      <c r="C46" t="s">
        <v>16</v>
      </c>
      <c r="D46" t="s">
        <v>17</v>
      </c>
      <c r="E46">
        <v>4</v>
      </c>
      <c r="F46">
        <v>49275</v>
      </c>
      <c r="G46" s="1">
        <v>44971</v>
      </c>
      <c r="H46">
        <v>197100</v>
      </c>
      <c r="I46">
        <v>9855</v>
      </c>
    </row>
    <row r="47" spans="1:9" x14ac:dyDescent="0.25">
      <c r="A47" t="s">
        <v>18</v>
      </c>
      <c r="B47" t="s">
        <v>24</v>
      </c>
      <c r="C47" t="s">
        <v>19</v>
      </c>
      <c r="D47" t="s">
        <v>26</v>
      </c>
      <c r="E47">
        <v>9</v>
      </c>
      <c r="F47">
        <v>49594</v>
      </c>
      <c r="G47" s="1">
        <v>44972</v>
      </c>
      <c r="H47">
        <v>446346</v>
      </c>
      <c r="I47">
        <v>9918.7999999999993</v>
      </c>
    </row>
    <row r="48" spans="1:9" x14ac:dyDescent="0.25">
      <c r="A48" t="s">
        <v>29</v>
      </c>
      <c r="B48" t="s">
        <v>21</v>
      </c>
      <c r="C48" t="s">
        <v>16</v>
      </c>
      <c r="D48" t="s">
        <v>26</v>
      </c>
      <c r="E48">
        <v>9</v>
      </c>
      <c r="F48">
        <v>2762</v>
      </c>
      <c r="G48" s="1">
        <v>44973</v>
      </c>
      <c r="H48">
        <v>24858</v>
      </c>
      <c r="I48">
        <v>552.4</v>
      </c>
    </row>
    <row r="49" spans="1:9" x14ac:dyDescent="0.25">
      <c r="A49" t="s">
        <v>11</v>
      </c>
      <c r="B49" t="s">
        <v>12</v>
      </c>
      <c r="C49" t="s">
        <v>9</v>
      </c>
      <c r="D49" t="s">
        <v>17</v>
      </c>
      <c r="E49">
        <v>2</v>
      </c>
      <c r="F49">
        <v>32987</v>
      </c>
      <c r="G49" s="1">
        <v>44974</v>
      </c>
      <c r="H49">
        <v>65974</v>
      </c>
      <c r="I49">
        <v>6597.4</v>
      </c>
    </row>
    <row r="50" spans="1:9" x14ac:dyDescent="0.25">
      <c r="A50" t="s">
        <v>7</v>
      </c>
      <c r="B50" t="s">
        <v>24</v>
      </c>
      <c r="C50" t="s">
        <v>19</v>
      </c>
      <c r="D50" t="s">
        <v>10</v>
      </c>
      <c r="E50">
        <v>8</v>
      </c>
      <c r="F50">
        <v>16850</v>
      </c>
      <c r="G50" s="1">
        <v>44975</v>
      </c>
      <c r="H50">
        <v>134800</v>
      </c>
      <c r="I50">
        <v>3370</v>
      </c>
    </row>
    <row r="51" spans="1:9" x14ac:dyDescent="0.25">
      <c r="A51" t="s">
        <v>15</v>
      </c>
      <c r="B51" t="s">
        <v>8</v>
      </c>
      <c r="C51" t="s">
        <v>16</v>
      </c>
      <c r="D51" t="s">
        <v>14</v>
      </c>
      <c r="E51">
        <v>8</v>
      </c>
      <c r="F51">
        <v>13112</v>
      </c>
      <c r="G51" s="1">
        <v>44976</v>
      </c>
      <c r="H51">
        <v>104896</v>
      </c>
      <c r="I51">
        <v>2622.4</v>
      </c>
    </row>
    <row r="52" spans="1:9" x14ac:dyDescent="0.25">
      <c r="A52" t="s">
        <v>23</v>
      </c>
      <c r="B52" t="s">
        <v>21</v>
      </c>
      <c r="C52" t="s">
        <v>19</v>
      </c>
      <c r="D52" t="s">
        <v>28</v>
      </c>
      <c r="E52">
        <v>7</v>
      </c>
      <c r="F52">
        <v>25058</v>
      </c>
      <c r="G52" s="1">
        <v>44977</v>
      </c>
      <c r="H52">
        <v>175406</v>
      </c>
      <c r="I52">
        <v>5011.6000000000004</v>
      </c>
    </row>
    <row r="53" spans="1:9" x14ac:dyDescent="0.25">
      <c r="A53" t="s">
        <v>31</v>
      </c>
      <c r="B53" t="s">
        <v>24</v>
      </c>
      <c r="C53" t="s">
        <v>9</v>
      </c>
      <c r="D53" t="s">
        <v>25</v>
      </c>
      <c r="E53">
        <v>8</v>
      </c>
      <c r="F53">
        <v>46420</v>
      </c>
      <c r="G53" s="1">
        <v>44978</v>
      </c>
      <c r="H53">
        <v>371360</v>
      </c>
      <c r="I53">
        <v>9284</v>
      </c>
    </row>
    <row r="54" spans="1:9" x14ac:dyDescent="0.25">
      <c r="A54" t="s">
        <v>11</v>
      </c>
      <c r="B54" t="s">
        <v>21</v>
      </c>
      <c r="C54" t="s">
        <v>16</v>
      </c>
      <c r="D54" t="s">
        <v>28</v>
      </c>
      <c r="E54">
        <v>3</v>
      </c>
      <c r="F54">
        <v>39890</v>
      </c>
      <c r="G54" s="1">
        <v>44979</v>
      </c>
      <c r="H54">
        <v>119670</v>
      </c>
      <c r="I54">
        <v>7978</v>
      </c>
    </row>
    <row r="55" spans="1:9" x14ac:dyDescent="0.25">
      <c r="A55" t="s">
        <v>29</v>
      </c>
      <c r="B55" t="s">
        <v>24</v>
      </c>
      <c r="C55" t="s">
        <v>19</v>
      </c>
      <c r="D55" t="s">
        <v>20</v>
      </c>
      <c r="E55">
        <v>6</v>
      </c>
      <c r="F55">
        <v>1481</v>
      </c>
      <c r="G55" s="1">
        <v>44980</v>
      </c>
      <c r="H55">
        <v>8886</v>
      </c>
      <c r="I55">
        <v>296.2</v>
      </c>
    </row>
    <row r="56" spans="1:9" x14ac:dyDescent="0.25">
      <c r="A56" t="s">
        <v>15</v>
      </c>
      <c r="B56" t="s">
        <v>21</v>
      </c>
      <c r="C56" t="s">
        <v>9</v>
      </c>
      <c r="D56" t="s">
        <v>17</v>
      </c>
      <c r="E56">
        <v>1</v>
      </c>
      <c r="F56">
        <v>48304</v>
      </c>
      <c r="G56" s="1">
        <v>44981</v>
      </c>
      <c r="H56">
        <v>48304</v>
      </c>
      <c r="I56">
        <v>9660.7999999999993</v>
      </c>
    </row>
    <row r="57" spans="1:9" x14ac:dyDescent="0.25">
      <c r="A57" t="s">
        <v>11</v>
      </c>
      <c r="B57" t="s">
        <v>8</v>
      </c>
      <c r="C57" t="s">
        <v>19</v>
      </c>
      <c r="D57" t="s">
        <v>14</v>
      </c>
      <c r="E57">
        <v>7</v>
      </c>
      <c r="F57">
        <v>33921</v>
      </c>
      <c r="G57" s="1">
        <v>44982</v>
      </c>
      <c r="H57">
        <v>237447</v>
      </c>
      <c r="I57">
        <v>6784.2</v>
      </c>
    </row>
    <row r="58" spans="1:9" x14ac:dyDescent="0.25">
      <c r="A58" t="s">
        <v>29</v>
      </c>
      <c r="B58" t="s">
        <v>12</v>
      </c>
      <c r="C58" t="s">
        <v>19</v>
      </c>
      <c r="D58" t="s">
        <v>25</v>
      </c>
      <c r="E58">
        <v>1</v>
      </c>
      <c r="F58">
        <v>41385</v>
      </c>
      <c r="G58" s="1">
        <v>44983</v>
      </c>
      <c r="H58">
        <v>41385</v>
      </c>
      <c r="I58">
        <v>8277</v>
      </c>
    </row>
    <row r="59" spans="1:9" x14ac:dyDescent="0.25">
      <c r="A59" t="s">
        <v>27</v>
      </c>
      <c r="B59" t="s">
        <v>8</v>
      </c>
      <c r="C59" t="s">
        <v>13</v>
      </c>
      <c r="D59" t="s">
        <v>17</v>
      </c>
      <c r="E59">
        <v>9</v>
      </c>
      <c r="F59">
        <v>2524</v>
      </c>
      <c r="G59" s="1">
        <v>44984</v>
      </c>
      <c r="H59">
        <v>22716</v>
      </c>
      <c r="I59">
        <v>504.8</v>
      </c>
    </row>
    <row r="60" spans="1:9" x14ac:dyDescent="0.25">
      <c r="A60" t="s">
        <v>27</v>
      </c>
      <c r="B60" t="s">
        <v>12</v>
      </c>
      <c r="C60" t="s">
        <v>13</v>
      </c>
      <c r="D60" t="s">
        <v>10</v>
      </c>
      <c r="E60">
        <v>1</v>
      </c>
      <c r="F60">
        <v>35888</v>
      </c>
      <c r="G60" s="1">
        <v>44985</v>
      </c>
      <c r="H60">
        <v>35888</v>
      </c>
      <c r="I60">
        <v>7177.6</v>
      </c>
    </row>
    <row r="61" spans="1:9" x14ac:dyDescent="0.25">
      <c r="A61" t="s">
        <v>22</v>
      </c>
      <c r="B61" t="s">
        <v>21</v>
      </c>
      <c r="C61" t="s">
        <v>9</v>
      </c>
      <c r="D61" t="s">
        <v>26</v>
      </c>
      <c r="E61">
        <v>1</v>
      </c>
      <c r="F61">
        <v>16048</v>
      </c>
      <c r="G61" s="1">
        <v>44986</v>
      </c>
      <c r="H61">
        <v>16048</v>
      </c>
      <c r="I61">
        <v>3209.6</v>
      </c>
    </row>
    <row r="62" spans="1:9" x14ac:dyDescent="0.25">
      <c r="A62" t="s">
        <v>11</v>
      </c>
      <c r="B62" t="s">
        <v>24</v>
      </c>
      <c r="C62" t="s">
        <v>13</v>
      </c>
      <c r="D62" t="s">
        <v>28</v>
      </c>
      <c r="E62">
        <v>7</v>
      </c>
      <c r="F62">
        <v>36111</v>
      </c>
      <c r="G62" s="1">
        <v>44987</v>
      </c>
      <c r="H62">
        <v>252777</v>
      </c>
      <c r="I62">
        <v>7222.2</v>
      </c>
    </row>
    <row r="63" spans="1:9" x14ac:dyDescent="0.25">
      <c r="A63" t="s">
        <v>27</v>
      </c>
      <c r="B63" t="s">
        <v>8</v>
      </c>
      <c r="C63" t="s">
        <v>9</v>
      </c>
      <c r="D63" t="s">
        <v>30</v>
      </c>
      <c r="E63">
        <v>2</v>
      </c>
      <c r="F63">
        <v>38904</v>
      </c>
      <c r="G63" s="1">
        <v>44988</v>
      </c>
      <c r="H63">
        <v>77808</v>
      </c>
      <c r="I63">
        <v>7780.8</v>
      </c>
    </row>
    <row r="64" spans="1:9" x14ac:dyDescent="0.25">
      <c r="A64" t="s">
        <v>29</v>
      </c>
      <c r="B64" t="s">
        <v>12</v>
      </c>
      <c r="C64" t="s">
        <v>13</v>
      </c>
      <c r="D64" t="s">
        <v>30</v>
      </c>
      <c r="E64">
        <v>5</v>
      </c>
      <c r="F64">
        <v>35008</v>
      </c>
      <c r="G64" s="1">
        <v>44989</v>
      </c>
      <c r="H64">
        <v>175040</v>
      </c>
      <c r="I64">
        <v>7001.6</v>
      </c>
    </row>
    <row r="65" spans="1:9" x14ac:dyDescent="0.25">
      <c r="A65" t="s">
        <v>22</v>
      </c>
      <c r="B65" t="s">
        <v>8</v>
      </c>
      <c r="C65" t="s">
        <v>19</v>
      </c>
      <c r="D65" t="s">
        <v>14</v>
      </c>
      <c r="E65">
        <v>8</v>
      </c>
      <c r="F65">
        <v>1060</v>
      </c>
      <c r="G65" s="1">
        <v>44990</v>
      </c>
      <c r="H65">
        <v>8480</v>
      </c>
      <c r="I65">
        <v>212</v>
      </c>
    </row>
    <row r="66" spans="1:9" x14ac:dyDescent="0.25">
      <c r="A66" t="s">
        <v>29</v>
      </c>
      <c r="B66" t="s">
        <v>12</v>
      </c>
      <c r="C66" t="s">
        <v>9</v>
      </c>
      <c r="D66" t="s">
        <v>10</v>
      </c>
      <c r="E66">
        <v>8</v>
      </c>
      <c r="F66">
        <v>10130</v>
      </c>
      <c r="G66" s="1">
        <v>44991</v>
      </c>
      <c r="H66">
        <v>81040</v>
      </c>
      <c r="I66">
        <v>2026</v>
      </c>
    </row>
    <row r="67" spans="1:9" x14ac:dyDescent="0.25">
      <c r="A67" t="s">
        <v>22</v>
      </c>
      <c r="B67" t="s">
        <v>8</v>
      </c>
      <c r="C67" t="s">
        <v>9</v>
      </c>
      <c r="D67" t="s">
        <v>20</v>
      </c>
      <c r="E67">
        <v>3</v>
      </c>
      <c r="F67">
        <v>19023</v>
      </c>
      <c r="G67" s="1">
        <v>44992</v>
      </c>
      <c r="H67">
        <v>57069</v>
      </c>
      <c r="I67">
        <v>3804.6</v>
      </c>
    </row>
    <row r="68" spans="1:9" x14ac:dyDescent="0.25">
      <c r="A68" t="s">
        <v>11</v>
      </c>
      <c r="B68" t="s">
        <v>12</v>
      </c>
      <c r="C68" t="s">
        <v>19</v>
      </c>
      <c r="D68" t="s">
        <v>28</v>
      </c>
      <c r="E68">
        <v>7</v>
      </c>
      <c r="F68">
        <v>46080</v>
      </c>
      <c r="G68" s="1">
        <v>44993</v>
      </c>
      <c r="H68">
        <v>322560</v>
      </c>
      <c r="I68">
        <v>9216</v>
      </c>
    </row>
    <row r="69" spans="1:9" x14ac:dyDescent="0.25">
      <c r="A69" t="s">
        <v>15</v>
      </c>
      <c r="B69" t="s">
        <v>12</v>
      </c>
      <c r="C69" t="s">
        <v>9</v>
      </c>
      <c r="D69" t="s">
        <v>10</v>
      </c>
      <c r="E69">
        <v>3</v>
      </c>
      <c r="F69">
        <v>14350</v>
      </c>
      <c r="G69" s="1">
        <v>44994</v>
      </c>
      <c r="H69">
        <v>43050</v>
      </c>
      <c r="I69">
        <v>2870</v>
      </c>
    </row>
    <row r="70" spans="1:9" x14ac:dyDescent="0.25">
      <c r="A70" t="s">
        <v>7</v>
      </c>
      <c r="B70" t="s">
        <v>21</v>
      </c>
      <c r="C70" t="s">
        <v>9</v>
      </c>
      <c r="D70" t="s">
        <v>28</v>
      </c>
      <c r="E70">
        <v>6</v>
      </c>
      <c r="F70">
        <v>25354</v>
      </c>
      <c r="G70" s="1">
        <v>44995</v>
      </c>
      <c r="H70">
        <v>152124</v>
      </c>
      <c r="I70">
        <v>5070.8</v>
      </c>
    </row>
    <row r="71" spans="1:9" x14ac:dyDescent="0.25">
      <c r="A71" t="s">
        <v>32</v>
      </c>
      <c r="B71" t="s">
        <v>12</v>
      </c>
      <c r="C71" t="s">
        <v>13</v>
      </c>
      <c r="D71" t="s">
        <v>14</v>
      </c>
      <c r="E71">
        <v>6</v>
      </c>
      <c r="F71">
        <v>46186</v>
      </c>
      <c r="G71" s="1">
        <v>44996</v>
      </c>
      <c r="H71">
        <v>277116</v>
      </c>
      <c r="I71">
        <v>9237.2000000000007</v>
      </c>
    </row>
    <row r="72" spans="1:9" x14ac:dyDescent="0.25">
      <c r="A72" t="s">
        <v>15</v>
      </c>
      <c r="B72" t="s">
        <v>21</v>
      </c>
      <c r="C72" t="s">
        <v>9</v>
      </c>
      <c r="D72" t="s">
        <v>14</v>
      </c>
      <c r="E72">
        <v>3</v>
      </c>
      <c r="F72">
        <v>29145</v>
      </c>
      <c r="G72" s="1">
        <v>44997</v>
      </c>
      <c r="H72">
        <v>87435</v>
      </c>
      <c r="I72">
        <v>5829</v>
      </c>
    </row>
    <row r="73" spans="1:9" x14ac:dyDescent="0.25">
      <c r="A73" t="s">
        <v>18</v>
      </c>
      <c r="B73" t="s">
        <v>12</v>
      </c>
      <c r="C73" t="s">
        <v>16</v>
      </c>
      <c r="D73" t="s">
        <v>20</v>
      </c>
      <c r="E73">
        <v>7</v>
      </c>
      <c r="F73">
        <v>35020</v>
      </c>
      <c r="G73" s="1">
        <v>44998</v>
      </c>
      <c r="H73">
        <v>245140</v>
      </c>
      <c r="I73">
        <v>7004</v>
      </c>
    </row>
    <row r="74" spans="1:9" x14ac:dyDescent="0.25">
      <c r="A74" t="s">
        <v>29</v>
      </c>
      <c r="B74" t="s">
        <v>24</v>
      </c>
      <c r="C74" t="s">
        <v>19</v>
      </c>
      <c r="D74" t="s">
        <v>30</v>
      </c>
      <c r="E74">
        <v>3</v>
      </c>
      <c r="F74">
        <v>21587</v>
      </c>
      <c r="G74" s="1">
        <v>44999</v>
      </c>
      <c r="H74">
        <v>64761</v>
      </c>
      <c r="I74">
        <v>4317.3999999999996</v>
      </c>
    </row>
    <row r="75" spans="1:9" x14ac:dyDescent="0.25">
      <c r="A75" t="s">
        <v>18</v>
      </c>
      <c r="B75" t="s">
        <v>24</v>
      </c>
      <c r="C75" t="s">
        <v>13</v>
      </c>
      <c r="D75" t="s">
        <v>10</v>
      </c>
      <c r="E75">
        <v>8</v>
      </c>
      <c r="F75">
        <v>42131</v>
      </c>
      <c r="G75" s="1">
        <v>45000</v>
      </c>
      <c r="H75">
        <v>337048</v>
      </c>
      <c r="I75">
        <v>8426.2000000000007</v>
      </c>
    </row>
    <row r="76" spans="1:9" x14ac:dyDescent="0.25">
      <c r="A76" t="s">
        <v>15</v>
      </c>
      <c r="B76" t="s">
        <v>24</v>
      </c>
      <c r="C76" t="s">
        <v>13</v>
      </c>
      <c r="D76" t="s">
        <v>25</v>
      </c>
      <c r="E76">
        <v>4</v>
      </c>
      <c r="F76">
        <v>10650</v>
      </c>
      <c r="G76" s="1">
        <v>45001</v>
      </c>
      <c r="H76">
        <v>42600</v>
      </c>
      <c r="I76">
        <v>2130</v>
      </c>
    </row>
    <row r="77" spans="1:9" x14ac:dyDescent="0.25">
      <c r="A77" t="s">
        <v>22</v>
      </c>
      <c r="B77" t="s">
        <v>12</v>
      </c>
      <c r="C77" t="s">
        <v>16</v>
      </c>
      <c r="D77" t="s">
        <v>30</v>
      </c>
      <c r="E77">
        <v>1</v>
      </c>
      <c r="F77">
        <v>20933</v>
      </c>
      <c r="G77" s="1">
        <v>45002</v>
      </c>
      <c r="H77">
        <v>20933</v>
      </c>
      <c r="I77">
        <v>4186.6000000000004</v>
      </c>
    </row>
    <row r="78" spans="1:9" x14ac:dyDescent="0.25">
      <c r="A78" t="s">
        <v>32</v>
      </c>
      <c r="B78" t="s">
        <v>21</v>
      </c>
      <c r="C78" t="s">
        <v>19</v>
      </c>
      <c r="D78" t="s">
        <v>10</v>
      </c>
      <c r="E78">
        <v>4</v>
      </c>
      <c r="F78">
        <v>21581</v>
      </c>
      <c r="G78" s="1">
        <v>45003</v>
      </c>
      <c r="H78">
        <v>86324</v>
      </c>
      <c r="I78">
        <v>4316.2</v>
      </c>
    </row>
    <row r="79" spans="1:9" x14ac:dyDescent="0.25">
      <c r="A79" t="s">
        <v>32</v>
      </c>
      <c r="B79" t="s">
        <v>21</v>
      </c>
      <c r="C79" t="s">
        <v>19</v>
      </c>
      <c r="D79" t="s">
        <v>30</v>
      </c>
      <c r="E79">
        <v>7</v>
      </c>
      <c r="F79">
        <v>24393</v>
      </c>
      <c r="G79" s="1">
        <v>45004</v>
      </c>
      <c r="H79">
        <v>170751</v>
      </c>
      <c r="I79">
        <v>4878.6000000000004</v>
      </c>
    </row>
    <row r="80" spans="1:9" x14ac:dyDescent="0.25">
      <c r="A80" t="s">
        <v>31</v>
      </c>
      <c r="B80" t="s">
        <v>12</v>
      </c>
      <c r="C80" t="s">
        <v>13</v>
      </c>
      <c r="D80" t="s">
        <v>25</v>
      </c>
      <c r="E80">
        <v>4</v>
      </c>
      <c r="F80">
        <v>24051</v>
      </c>
      <c r="G80" s="1">
        <v>45005</v>
      </c>
      <c r="H80">
        <v>96204</v>
      </c>
      <c r="I80">
        <v>4810.2</v>
      </c>
    </row>
    <row r="81" spans="1:9" x14ac:dyDescent="0.25">
      <c r="A81" t="s">
        <v>32</v>
      </c>
      <c r="B81" t="s">
        <v>24</v>
      </c>
      <c r="C81" t="s">
        <v>9</v>
      </c>
      <c r="D81" t="s">
        <v>26</v>
      </c>
      <c r="E81">
        <v>6</v>
      </c>
      <c r="F81">
        <v>27212</v>
      </c>
      <c r="G81" s="1">
        <v>45006</v>
      </c>
      <c r="H81">
        <v>163272</v>
      </c>
      <c r="I81">
        <v>5442.4</v>
      </c>
    </row>
    <row r="82" spans="1:9" x14ac:dyDescent="0.25">
      <c r="A82" t="s">
        <v>7</v>
      </c>
      <c r="B82" t="s">
        <v>24</v>
      </c>
      <c r="C82" t="s">
        <v>13</v>
      </c>
      <c r="D82" t="s">
        <v>26</v>
      </c>
      <c r="E82">
        <v>9</v>
      </c>
      <c r="F82">
        <v>5090</v>
      </c>
      <c r="G82" s="1">
        <v>45007</v>
      </c>
      <c r="H82">
        <v>45810</v>
      </c>
      <c r="I82">
        <v>1018</v>
      </c>
    </row>
    <row r="83" spans="1:9" x14ac:dyDescent="0.25">
      <c r="A83" t="s">
        <v>32</v>
      </c>
      <c r="B83" t="s">
        <v>21</v>
      </c>
      <c r="C83" t="s">
        <v>19</v>
      </c>
      <c r="D83" t="s">
        <v>20</v>
      </c>
      <c r="E83">
        <v>1</v>
      </c>
      <c r="F83">
        <v>7960</v>
      </c>
      <c r="G83" s="1">
        <v>45008</v>
      </c>
      <c r="H83">
        <v>7960</v>
      </c>
      <c r="I83">
        <v>1592</v>
      </c>
    </row>
    <row r="84" spans="1:9" x14ac:dyDescent="0.25">
      <c r="A84" t="s">
        <v>15</v>
      </c>
      <c r="B84" t="s">
        <v>24</v>
      </c>
      <c r="C84" t="s">
        <v>16</v>
      </c>
      <c r="D84" t="s">
        <v>26</v>
      </c>
      <c r="E84">
        <v>5</v>
      </c>
      <c r="F84">
        <v>36772</v>
      </c>
      <c r="G84" s="1">
        <v>45009</v>
      </c>
      <c r="H84">
        <v>183860</v>
      </c>
      <c r="I84">
        <v>7354.4</v>
      </c>
    </row>
    <row r="85" spans="1:9" x14ac:dyDescent="0.25">
      <c r="A85" t="s">
        <v>31</v>
      </c>
      <c r="B85" t="s">
        <v>8</v>
      </c>
      <c r="C85" t="s">
        <v>13</v>
      </c>
      <c r="D85" t="s">
        <v>26</v>
      </c>
      <c r="E85">
        <v>7</v>
      </c>
      <c r="F85">
        <v>22520</v>
      </c>
      <c r="G85" s="1">
        <v>45010</v>
      </c>
      <c r="H85">
        <v>157640</v>
      </c>
      <c r="I85">
        <v>4504</v>
      </c>
    </row>
    <row r="86" spans="1:9" x14ac:dyDescent="0.25">
      <c r="A86" t="s">
        <v>15</v>
      </c>
      <c r="B86" t="s">
        <v>21</v>
      </c>
      <c r="C86" t="s">
        <v>19</v>
      </c>
      <c r="D86" t="s">
        <v>17</v>
      </c>
      <c r="E86">
        <v>1</v>
      </c>
      <c r="F86">
        <v>37408</v>
      </c>
      <c r="G86" s="1">
        <v>45011</v>
      </c>
      <c r="H86">
        <v>37408</v>
      </c>
      <c r="I86">
        <v>7481.6</v>
      </c>
    </row>
    <row r="87" spans="1:9" x14ac:dyDescent="0.25">
      <c r="A87" t="s">
        <v>15</v>
      </c>
      <c r="B87" t="s">
        <v>24</v>
      </c>
      <c r="C87" t="s">
        <v>13</v>
      </c>
      <c r="D87" t="s">
        <v>28</v>
      </c>
      <c r="E87">
        <v>4</v>
      </c>
      <c r="F87">
        <v>29470</v>
      </c>
      <c r="G87" s="1">
        <v>45012</v>
      </c>
      <c r="H87">
        <v>117880</v>
      </c>
      <c r="I87">
        <v>5894</v>
      </c>
    </row>
    <row r="88" spans="1:9" x14ac:dyDescent="0.25">
      <c r="A88" t="s">
        <v>23</v>
      </c>
      <c r="B88" t="s">
        <v>21</v>
      </c>
      <c r="C88" t="s">
        <v>9</v>
      </c>
      <c r="D88" t="s">
        <v>17</v>
      </c>
      <c r="E88">
        <v>6</v>
      </c>
      <c r="F88">
        <v>21491</v>
      </c>
      <c r="G88" s="1">
        <v>45013</v>
      </c>
      <c r="H88">
        <v>128946</v>
      </c>
      <c r="I88">
        <v>4298.2</v>
      </c>
    </row>
    <row r="89" spans="1:9" x14ac:dyDescent="0.25">
      <c r="A89" t="s">
        <v>31</v>
      </c>
      <c r="B89" t="s">
        <v>8</v>
      </c>
      <c r="C89" t="s">
        <v>13</v>
      </c>
      <c r="D89" t="s">
        <v>17</v>
      </c>
      <c r="E89">
        <v>2</v>
      </c>
      <c r="F89">
        <v>2341</v>
      </c>
      <c r="G89" s="1">
        <v>45014</v>
      </c>
      <c r="H89">
        <v>4682</v>
      </c>
      <c r="I89">
        <v>468.2</v>
      </c>
    </row>
    <row r="90" spans="1:9" x14ac:dyDescent="0.25">
      <c r="A90" t="s">
        <v>15</v>
      </c>
      <c r="B90" t="s">
        <v>21</v>
      </c>
      <c r="C90" t="s">
        <v>13</v>
      </c>
      <c r="D90" t="s">
        <v>20</v>
      </c>
      <c r="E90">
        <v>5</v>
      </c>
      <c r="F90">
        <v>45623</v>
      </c>
      <c r="G90" s="1">
        <v>45015</v>
      </c>
      <c r="H90">
        <v>228115</v>
      </c>
      <c r="I90">
        <v>9124.6</v>
      </c>
    </row>
    <row r="91" spans="1:9" x14ac:dyDescent="0.25">
      <c r="A91" t="s">
        <v>23</v>
      </c>
      <c r="B91" t="s">
        <v>21</v>
      </c>
      <c r="C91" t="s">
        <v>19</v>
      </c>
      <c r="D91" t="s">
        <v>17</v>
      </c>
      <c r="E91">
        <v>1</v>
      </c>
      <c r="F91">
        <v>25791</v>
      </c>
      <c r="G91" s="1">
        <v>45016</v>
      </c>
      <c r="H91">
        <v>25791</v>
      </c>
      <c r="I91">
        <v>5158.2</v>
      </c>
    </row>
    <row r="92" spans="1:9" x14ac:dyDescent="0.25">
      <c r="A92" t="s">
        <v>23</v>
      </c>
      <c r="B92" t="s">
        <v>21</v>
      </c>
      <c r="C92" t="s">
        <v>19</v>
      </c>
      <c r="D92" t="s">
        <v>26</v>
      </c>
      <c r="E92">
        <v>6</v>
      </c>
      <c r="F92">
        <v>1338</v>
      </c>
      <c r="G92" s="1">
        <v>45017</v>
      </c>
      <c r="H92">
        <v>8028</v>
      </c>
      <c r="I92">
        <v>267.60000000000002</v>
      </c>
    </row>
    <row r="93" spans="1:9" x14ac:dyDescent="0.25">
      <c r="A93" t="s">
        <v>31</v>
      </c>
      <c r="B93" t="s">
        <v>21</v>
      </c>
      <c r="C93" t="s">
        <v>19</v>
      </c>
      <c r="D93" t="s">
        <v>25</v>
      </c>
      <c r="E93">
        <v>6</v>
      </c>
      <c r="F93">
        <v>6895</v>
      </c>
      <c r="G93" s="1">
        <v>45018</v>
      </c>
      <c r="H93">
        <v>41370</v>
      </c>
      <c r="I93">
        <v>1379</v>
      </c>
    </row>
    <row r="94" spans="1:9" x14ac:dyDescent="0.25">
      <c r="A94" t="s">
        <v>18</v>
      </c>
      <c r="B94" t="s">
        <v>8</v>
      </c>
      <c r="C94" t="s">
        <v>13</v>
      </c>
      <c r="D94" t="s">
        <v>20</v>
      </c>
      <c r="E94">
        <v>4</v>
      </c>
      <c r="F94">
        <v>13254</v>
      </c>
      <c r="G94" s="1">
        <v>45019</v>
      </c>
      <c r="H94">
        <v>53016</v>
      </c>
      <c r="I94">
        <v>2650.8</v>
      </c>
    </row>
    <row r="95" spans="1:9" x14ac:dyDescent="0.25">
      <c r="A95" t="s">
        <v>22</v>
      </c>
      <c r="B95" t="s">
        <v>12</v>
      </c>
      <c r="C95" t="s">
        <v>9</v>
      </c>
      <c r="D95" t="s">
        <v>20</v>
      </c>
      <c r="E95">
        <v>8</v>
      </c>
      <c r="F95">
        <v>12344</v>
      </c>
      <c r="G95" s="1">
        <v>45020</v>
      </c>
      <c r="H95">
        <v>98752</v>
      </c>
      <c r="I95">
        <v>2468.8000000000002</v>
      </c>
    </row>
    <row r="96" spans="1:9" x14ac:dyDescent="0.25">
      <c r="A96" t="s">
        <v>7</v>
      </c>
      <c r="B96" t="s">
        <v>21</v>
      </c>
      <c r="C96" t="s">
        <v>16</v>
      </c>
      <c r="D96" t="s">
        <v>14</v>
      </c>
      <c r="E96">
        <v>4</v>
      </c>
      <c r="F96">
        <v>2750</v>
      </c>
      <c r="G96" s="1">
        <v>45021</v>
      </c>
      <c r="H96">
        <v>11000</v>
      </c>
      <c r="I96">
        <v>550</v>
      </c>
    </row>
    <row r="97" spans="1:9" x14ac:dyDescent="0.25">
      <c r="A97" t="s">
        <v>22</v>
      </c>
      <c r="B97" t="s">
        <v>21</v>
      </c>
      <c r="C97" t="s">
        <v>16</v>
      </c>
      <c r="D97" t="s">
        <v>20</v>
      </c>
      <c r="E97">
        <v>8</v>
      </c>
      <c r="F97">
        <v>3421</v>
      </c>
      <c r="G97" s="1">
        <v>45022</v>
      </c>
      <c r="H97">
        <v>27368</v>
      </c>
      <c r="I97">
        <v>684.2</v>
      </c>
    </row>
    <row r="98" spans="1:9" x14ac:dyDescent="0.25">
      <c r="A98" t="s">
        <v>32</v>
      </c>
      <c r="B98" t="s">
        <v>24</v>
      </c>
      <c r="C98" t="s">
        <v>19</v>
      </c>
      <c r="D98" t="s">
        <v>14</v>
      </c>
      <c r="E98">
        <v>8</v>
      </c>
      <c r="F98">
        <v>40887</v>
      </c>
      <c r="G98" s="1">
        <v>45023</v>
      </c>
      <c r="H98">
        <v>327096</v>
      </c>
      <c r="I98">
        <v>8177.4</v>
      </c>
    </row>
    <row r="99" spans="1:9" x14ac:dyDescent="0.25">
      <c r="A99" t="s">
        <v>7</v>
      </c>
      <c r="B99" t="s">
        <v>21</v>
      </c>
      <c r="C99" t="s">
        <v>19</v>
      </c>
      <c r="D99" t="s">
        <v>20</v>
      </c>
      <c r="E99">
        <v>5</v>
      </c>
      <c r="F99">
        <v>6319</v>
      </c>
      <c r="G99" s="1">
        <v>45024</v>
      </c>
      <c r="H99">
        <v>31595</v>
      </c>
      <c r="I99">
        <v>1263.8</v>
      </c>
    </row>
    <row r="100" spans="1:9" x14ac:dyDescent="0.25">
      <c r="A100" t="s">
        <v>32</v>
      </c>
      <c r="B100" t="s">
        <v>24</v>
      </c>
      <c r="C100" t="s">
        <v>13</v>
      </c>
      <c r="D100" t="s">
        <v>28</v>
      </c>
      <c r="E100">
        <v>4</v>
      </c>
      <c r="F100">
        <v>16896</v>
      </c>
      <c r="G100" s="1">
        <v>45025</v>
      </c>
      <c r="H100">
        <v>67584</v>
      </c>
      <c r="I100">
        <v>3379.2</v>
      </c>
    </row>
    <row r="101" spans="1:9" x14ac:dyDescent="0.25">
      <c r="A101" t="s">
        <v>15</v>
      </c>
      <c r="B101" t="s">
        <v>12</v>
      </c>
      <c r="C101" t="s">
        <v>16</v>
      </c>
      <c r="D101" t="s">
        <v>26</v>
      </c>
      <c r="E101">
        <v>2</v>
      </c>
      <c r="F101">
        <v>12918</v>
      </c>
      <c r="G101" s="1">
        <v>45026</v>
      </c>
      <c r="H101">
        <v>25836</v>
      </c>
      <c r="I101">
        <v>2583.6</v>
      </c>
    </row>
    <row r="102" spans="1:9" x14ac:dyDescent="0.25">
      <c r="A102" t="s">
        <v>29</v>
      </c>
      <c r="B102" t="s">
        <v>8</v>
      </c>
      <c r="C102" t="s">
        <v>19</v>
      </c>
      <c r="D102" t="s">
        <v>20</v>
      </c>
      <c r="E102">
        <v>3</v>
      </c>
      <c r="F102">
        <v>26064</v>
      </c>
      <c r="G102" s="1">
        <v>45027</v>
      </c>
      <c r="H102">
        <v>78192</v>
      </c>
      <c r="I102">
        <v>5212.8</v>
      </c>
    </row>
    <row r="103" spans="1:9" x14ac:dyDescent="0.25">
      <c r="A103" t="s">
        <v>31</v>
      </c>
      <c r="B103" t="s">
        <v>8</v>
      </c>
      <c r="C103" t="s">
        <v>9</v>
      </c>
      <c r="D103" t="s">
        <v>26</v>
      </c>
      <c r="E103">
        <v>3</v>
      </c>
      <c r="F103">
        <v>47617</v>
      </c>
      <c r="G103" s="1">
        <v>45028</v>
      </c>
      <c r="H103">
        <v>142851</v>
      </c>
      <c r="I103">
        <v>9523.4</v>
      </c>
    </row>
    <row r="104" spans="1:9" x14ac:dyDescent="0.25">
      <c r="A104" t="s">
        <v>7</v>
      </c>
      <c r="B104" t="s">
        <v>12</v>
      </c>
      <c r="C104" t="s">
        <v>9</v>
      </c>
      <c r="D104" t="s">
        <v>26</v>
      </c>
      <c r="E104">
        <v>4</v>
      </c>
      <c r="F104">
        <v>28935</v>
      </c>
      <c r="G104" s="1">
        <v>45029</v>
      </c>
      <c r="H104">
        <v>115740</v>
      </c>
      <c r="I104">
        <v>5787</v>
      </c>
    </row>
    <row r="105" spans="1:9" x14ac:dyDescent="0.25">
      <c r="A105" t="s">
        <v>7</v>
      </c>
      <c r="B105" t="s">
        <v>8</v>
      </c>
      <c r="C105" t="s">
        <v>19</v>
      </c>
      <c r="D105" t="s">
        <v>30</v>
      </c>
      <c r="E105">
        <v>4</v>
      </c>
      <c r="F105">
        <v>38641</v>
      </c>
      <c r="G105" s="1">
        <v>45030</v>
      </c>
      <c r="H105">
        <v>154564</v>
      </c>
      <c r="I105">
        <v>7728.2</v>
      </c>
    </row>
    <row r="106" spans="1:9" x14ac:dyDescent="0.25">
      <c r="A106" t="s">
        <v>15</v>
      </c>
      <c r="B106" t="s">
        <v>12</v>
      </c>
      <c r="C106" t="s">
        <v>19</v>
      </c>
      <c r="D106" t="s">
        <v>20</v>
      </c>
      <c r="E106">
        <v>5</v>
      </c>
      <c r="F106">
        <v>30711</v>
      </c>
      <c r="G106" s="1">
        <v>45031</v>
      </c>
      <c r="H106">
        <v>153555</v>
      </c>
      <c r="I106">
        <v>6142.2</v>
      </c>
    </row>
    <row r="107" spans="1:9" x14ac:dyDescent="0.25">
      <c r="A107" t="s">
        <v>18</v>
      </c>
      <c r="B107" t="s">
        <v>12</v>
      </c>
      <c r="C107" t="s">
        <v>16</v>
      </c>
      <c r="D107" t="s">
        <v>10</v>
      </c>
      <c r="E107">
        <v>4</v>
      </c>
      <c r="F107">
        <v>5806</v>
      </c>
      <c r="G107" s="1">
        <v>45032</v>
      </c>
      <c r="H107">
        <v>23224</v>
      </c>
      <c r="I107">
        <v>1161.2</v>
      </c>
    </row>
    <row r="108" spans="1:9" x14ac:dyDescent="0.25">
      <c r="A108" t="s">
        <v>23</v>
      </c>
      <c r="B108" t="s">
        <v>12</v>
      </c>
      <c r="C108" t="s">
        <v>16</v>
      </c>
      <c r="D108" t="s">
        <v>30</v>
      </c>
      <c r="E108">
        <v>8</v>
      </c>
      <c r="F108">
        <v>42360</v>
      </c>
      <c r="G108" s="1">
        <v>45033</v>
      </c>
      <c r="H108">
        <v>338880</v>
      </c>
      <c r="I108">
        <v>8472</v>
      </c>
    </row>
    <row r="109" spans="1:9" x14ac:dyDescent="0.25">
      <c r="A109" t="s">
        <v>15</v>
      </c>
      <c r="B109" t="s">
        <v>8</v>
      </c>
      <c r="C109" t="s">
        <v>13</v>
      </c>
      <c r="D109" t="s">
        <v>10</v>
      </c>
      <c r="E109">
        <v>6</v>
      </c>
      <c r="F109">
        <v>13182</v>
      </c>
      <c r="G109" s="1">
        <v>45034</v>
      </c>
      <c r="H109">
        <v>79092</v>
      </c>
      <c r="I109">
        <v>2636.4</v>
      </c>
    </row>
    <row r="110" spans="1:9" x14ac:dyDescent="0.25">
      <c r="A110" t="s">
        <v>27</v>
      </c>
      <c r="B110" t="s">
        <v>24</v>
      </c>
      <c r="C110" t="s">
        <v>16</v>
      </c>
      <c r="D110" t="s">
        <v>26</v>
      </c>
      <c r="E110">
        <v>6</v>
      </c>
      <c r="F110">
        <v>23297</v>
      </c>
      <c r="G110" s="1">
        <v>45035</v>
      </c>
      <c r="H110">
        <v>139782</v>
      </c>
      <c r="I110">
        <v>4659.3999999999996</v>
      </c>
    </row>
    <row r="111" spans="1:9" x14ac:dyDescent="0.25">
      <c r="A111" t="s">
        <v>23</v>
      </c>
      <c r="B111" t="s">
        <v>12</v>
      </c>
      <c r="C111" t="s">
        <v>9</v>
      </c>
      <c r="D111" t="s">
        <v>26</v>
      </c>
      <c r="E111">
        <v>8</v>
      </c>
      <c r="F111">
        <v>20541</v>
      </c>
      <c r="G111" s="1">
        <v>45036</v>
      </c>
      <c r="H111">
        <v>164328</v>
      </c>
      <c r="I111">
        <v>4108.2</v>
      </c>
    </row>
    <row r="112" spans="1:9" x14ac:dyDescent="0.25">
      <c r="A112" t="s">
        <v>31</v>
      </c>
      <c r="B112" t="s">
        <v>21</v>
      </c>
      <c r="C112" t="s">
        <v>9</v>
      </c>
      <c r="D112" t="s">
        <v>30</v>
      </c>
      <c r="E112">
        <v>7</v>
      </c>
      <c r="F112">
        <v>29921</v>
      </c>
      <c r="G112" s="1">
        <v>45037</v>
      </c>
      <c r="H112">
        <v>209447</v>
      </c>
      <c r="I112">
        <v>5984.2</v>
      </c>
    </row>
    <row r="113" spans="1:9" x14ac:dyDescent="0.25">
      <c r="A113" t="s">
        <v>23</v>
      </c>
      <c r="B113" t="s">
        <v>8</v>
      </c>
      <c r="C113" t="s">
        <v>19</v>
      </c>
      <c r="D113" t="s">
        <v>30</v>
      </c>
      <c r="E113">
        <v>8</v>
      </c>
      <c r="F113">
        <v>17774</v>
      </c>
      <c r="G113" s="1">
        <v>45038</v>
      </c>
      <c r="H113">
        <v>142192</v>
      </c>
      <c r="I113">
        <v>3554.8</v>
      </c>
    </row>
    <row r="114" spans="1:9" x14ac:dyDescent="0.25">
      <c r="A114" t="s">
        <v>18</v>
      </c>
      <c r="B114" t="s">
        <v>12</v>
      </c>
      <c r="C114" t="s">
        <v>16</v>
      </c>
      <c r="D114" t="s">
        <v>10</v>
      </c>
      <c r="E114">
        <v>2</v>
      </c>
      <c r="F114">
        <v>45813</v>
      </c>
      <c r="G114" s="1">
        <v>45039</v>
      </c>
      <c r="H114">
        <v>91626</v>
      </c>
      <c r="I114">
        <v>9162.6</v>
      </c>
    </row>
    <row r="115" spans="1:9" x14ac:dyDescent="0.25">
      <c r="A115" t="s">
        <v>23</v>
      </c>
      <c r="B115" t="s">
        <v>12</v>
      </c>
      <c r="C115" t="s">
        <v>13</v>
      </c>
      <c r="D115" t="s">
        <v>14</v>
      </c>
      <c r="E115">
        <v>9</v>
      </c>
      <c r="F115">
        <v>38198</v>
      </c>
      <c r="G115" s="1">
        <v>45040</v>
      </c>
      <c r="H115">
        <v>343782</v>
      </c>
      <c r="I115">
        <v>7639.6</v>
      </c>
    </row>
    <row r="116" spans="1:9" x14ac:dyDescent="0.25">
      <c r="A116" t="s">
        <v>31</v>
      </c>
      <c r="B116" t="s">
        <v>21</v>
      </c>
      <c r="C116" t="s">
        <v>9</v>
      </c>
      <c r="D116" t="s">
        <v>10</v>
      </c>
      <c r="E116">
        <v>1</v>
      </c>
      <c r="F116">
        <v>9820</v>
      </c>
      <c r="G116" s="1">
        <v>45041</v>
      </c>
      <c r="H116">
        <v>9820</v>
      </c>
      <c r="I116">
        <v>1964</v>
      </c>
    </row>
    <row r="117" spans="1:9" x14ac:dyDescent="0.25">
      <c r="A117" t="s">
        <v>18</v>
      </c>
      <c r="B117" t="s">
        <v>24</v>
      </c>
      <c r="C117" t="s">
        <v>9</v>
      </c>
      <c r="D117" t="s">
        <v>30</v>
      </c>
      <c r="E117">
        <v>8</v>
      </c>
      <c r="F117">
        <v>25070</v>
      </c>
      <c r="G117" s="1">
        <v>45042</v>
      </c>
      <c r="H117">
        <v>200560</v>
      </c>
      <c r="I117">
        <v>5014</v>
      </c>
    </row>
    <row r="118" spans="1:9" x14ac:dyDescent="0.25">
      <c r="A118" t="s">
        <v>22</v>
      </c>
      <c r="B118" t="s">
        <v>24</v>
      </c>
      <c r="C118" t="s">
        <v>13</v>
      </c>
      <c r="D118" t="s">
        <v>25</v>
      </c>
      <c r="E118">
        <v>4</v>
      </c>
      <c r="F118">
        <v>5232</v>
      </c>
      <c r="G118" s="1">
        <v>45043</v>
      </c>
      <c r="H118">
        <v>20928</v>
      </c>
      <c r="I118">
        <v>1046.4000000000001</v>
      </c>
    </row>
    <row r="119" spans="1:9" x14ac:dyDescent="0.25">
      <c r="A119" t="s">
        <v>7</v>
      </c>
      <c r="B119" t="s">
        <v>24</v>
      </c>
      <c r="C119" t="s">
        <v>13</v>
      </c>
      <c r="D119" t="s">
        <v>30</v>
      </c>
      <c r="E119">
        <v>4</v>
      </c>
      <c r="F119">
        <v>12122</v>
      </c>
      <c r="G119" s="1">
        <v>45044</v>
      </c>
      <c r="H119">
        <v>48488</v>
      </c>
      <c r="I119">
        <v>2424.4</v>
      </c>
    </row>
    <row r="120" spans="1:9" x14ac:dyDescent="0.25">
      <c r="A120" t="s">
        <v>7</v>
      </c>
      <c r="B120" t="s">
        <v>12</v>
      </c>
      <c r="C120" t="s">
        <v>9</v>
      </c>
      <c r="D120" t="s">
        <v>25</v>
      </c>
      <c r="E120">
        <v>5</v>
      </c>
      <c r="F120">
        <v>16023</v>
      </c>
      <c r="G120" s="1">
        <v>45045</v>
      </c>
      <c r="H120">
        <v>80115</v>
      </c>
      <c r="I120">
        <v>3204.6</v>
      </c>
    </row>
    <row r="121" spans="1:9" x14ac:dyDescent="0.25">
      <c r="A121" t="s">
        <v>32</v>
      </c>
      <c r="B121" t="s">
        <v>12</v>
      </c>
      <c r="C121" t="s">
        <v>9</v>
      </c>
      <c r="D121" t="s">
        <v>28</v>
      </c>
      <c r="E121">
        <v>8</v>
      </c>
      <c r="F121">
        <v>9007</v>
      </c>
      <c r="G121" s="1">
        <v>45046</v>
      </c>
      <c r="H121">
        <v>72056</v>
      </c>
      <c r="I121">
        <v>1801.4</v>
      </c>
    </row>
    <row r="122" spans="1:9" x14ac:dyDescent="0.25">
      <c r="A122" t="s">
        <v>22</v>
      </c>
      <c r="B122" t="s">
        <v>12</v>
      </c>
      <c r="C122" t="s">
        <v>13</v>
      </c>
      <c r="D122" t="s">
        <v>30</v>
      </c>
      <c r="E122">
        <v>5</v>
      </c>
      <c r="F122">
        <v>18905</v>
      </c>
      <c r="G122" s="1">
        <v>45047</v>
      </c>
      <c r="H122">
        <v>94525</v>
      </c>
      <c r="I122">
        <v>3781</v>
      </c>
    </row>
    <row r="123" spans="1:9" x14ac:dyDescent="0.25">
      <c r="A123" t="s">
        <v>22</v>
      </c>
      <c r="B123" t="s">
        <v>8</v>
      </c>
      <c r="C123" t="s">
        <v>9</v>
      </c>
      <c r="D123" t="s">
        <v>28</v>
      </c>
      <c r="E123">
        <v>8</v>
      </c>
      <c r="F123">
        <v>42786</v>
      </c>
      <c r="G123" s="1">
        <v>45048</v>
      </c>
      <c r="H123">
        <v>342288</v>
      </c>
      <c r="I123">
        <v>8557.2000000000007</v>
      </c>
    </row>
    <row r="124" spans="1:9" x14ac:dyDescent="0.25">
      <c r="A124" t="s">
        <v>23</v>
      </c>
      <c r="B124" t="s">
        <v>21</v>
      </c>
      <c r="C124" t="s">
        <v>19</v>
      </c>
      <c r="D124" t="s">
        <v>14</v>
      </c>
      <c r="E124">
        <v>1</v>
      </c>
      <c r="F124">
        <v>30398</v>
      </c>
      <c r="G124" s="1">
        <v>45049</v>
      </c>
      <c r="H124">
        <v>30398</v>
      </c>
      <c r="I124">
        <v>6079.6</v>
      </c>
    </row>
    <row r="125" spans="1:9" x14ac:dyDescent="0.25">
      <c r="A125" t="s">
        <v>7</v>
      </c>
      <c r="B125" t="s">
        <v>12</v>
      </c>
      <c r="C125" t="s">
        <v>19</v>
      </c>
      <c r="D125" t="s">
        <v>10</v>
      </c>
      <c r="E125">
        <v>9</v>
      </c>
      <c r="F125">
        <v>35268</v>
      </c>
      <c r="G125" s="1">
        <v>45050</v>
      </c>
      <c r="H125">
        <v>317412</v>
      </c>
      <c r="I125">
        <v>7053.6</v>
      </c>
    </row>
    <row r="126" spans="1:9" x14ac:dyDescent="0.25">
      <c r="A126" t="s">
        <v>31</v>
      </c>
      <c r="B126" t="s">
        <v>21</v>
      </c>
      <c r="C126" t="s">
        <v>13</v>
      </c>
      <c r="D126" t="s">
        <v>25</v>
      </c>
      <c r="E126">
        <v>6</v>
      </c>
      <c r="F126">
        <v>7737</v>
      </c>
      <c r="G126" s="1">
        <v>45051</v>
      </c>
      <c r="H126">
        <v>46422</v>
      </c>
      <c r="I126">
        <v>1547.4</v>
      </c>
    </row>
    <row r="127" spans="1:9" x14ac:dyDescent="0.25">
      <c r="A127" t="s">
        <v>11</v>
      </c>
      <c r="B127" t="s">
        <v>21</v>
      </c>
      <c r="C127" t="s">
        <v>16</v>
      </c>
      <c r="D127" t="s">
        <v>10</v>
      </c>
      <c r="E127">
        <v>3</v>
      </c>
      <c r="F127">
        <v>37062</v>
      </c>
      <c r="G127" s="1">
        <v>45052</v>
      </c>
      <c r="H127">
        <v>111186</v>
      </c>
      <c r="I127">
        <v>7412.4</v>
      </c>
    </row>
    <row r="128" spans="1:9" x14ac:dyDescent="0.25">
      <c r="A128" t="s">
        <v>11</v>
      </c>
      <c r="B128" t="s">
        <v>24</v>
      </c>
      <c r="C128" t="s">
        <v>13</v>
      </c>
      <c r="D128" t="s">
        <v>28</v>
      </c>
      <c r="E128">
        <v>8</v>
      </c>
      <c r="F128">
        <v>26510</v>
      </c>
      <c r="G128" s="1">
        <v>45053</v>
      </c>
      <c r="H128">
        <v>212080</v>
      </c>
      <c r="I128">
        <v>5302</v>
      </c>
    </row>
    <row r="129" spans="1:9" x14ac:dyDescent="0.25">
      <c r="A129" t="s">
        <v>18</v>
      </c>
      <c r="B129" t="s">
        <v>8</v>
      </c>
      <c r="C129" t="s">
        <v>13</v>
      </c>
      <c r="D129" t="s">
        <v>25</v>
      </c>
      <c r="E129">
        <v>9</v>
      </c>
      <c r="F129">
        <v>20426</v>
      </c>
      <c r="G129" s="1">
        <v>45054</v>
      </c>
      <c r="H129">
        <v>183834</v>
      </c>
      <c r="I129">
        <v>4085.2</v>
      </c>
    </row>
    <row r="130" spans="1:9" x14ac:dyDescent="0.25">
      <c r="A130" t="s">
        <v>7</v>
      </c>
      <c r="B130" t="s">
        <v>12</v>
      </c>
      <c r="C130" t="s">
        <v>16</v>
      </c>
      <c r="D130" t="s">
        <v>10</v>
      </c>
      <c r="E130">
        <v>6</v>
      </c>
      <c r="F130">
        <v>38265</v>
      </c>
      <c r="G130" s="1">
        <v>45055</v>
      </c>
      <c r="H130">
        <v>229590</v>
      </c>
      <c r="I130">
        <v>7653</v>
      </c>
    </row>
    <row r="131" spans="1:9" x14ac:dyDescent="0.25">
      <c r="A131" t="s">
        <v>7</v>
      </c>
      <c r="B131" t="s">
        <v>24</v>
      </c>
      <c r="C131" t="s">
        <v>16</v>
      </c>
      <c r="D131" t="s">
        <v>30</v>
      </c>
      <c r="E131">
        <v>7</v>
      </c>
      <c r="F131">
        <v>18850</v>
      </c>
      <c r="G131" s="1">
        <v>45056</v>
      </c>
      <c r="H131">
        <v>131950</v>
      </c>
      <c r="I131">
        <v>3770</v>
      </c>
    </row>
    <row r="132" spans="1:9" x14ac:dyDescent="0.25">
      <c r="A132" t="s">
        <v>11</v>
      </c>
      <c r="B132" t="s">
        <v>24</v>
      </c>
      <c r="C132" t="s">
        <v>16</v>
      </c>
      <c r="D132" t="s">
        <v>26</v>
      </c>
      <c r="E132">
        <v>1</v>
      </c>
      <c r="F132">
        <v>1614</v>
      </c>
      <c r="G132" s="1">
        <v>45057</v>
      </c>
      <c r="H132">
        <v>1614</v>
      </c>
      <c r="I132">
        <v>322.8</v>
      </c>
    </row>
    <row r="133" spans="1:9" x14ac:dyDescent="0.25">
      <c r="A133" t="s">
        <v>7</v>
      </c>
      <c r="B133" t="s">
        <v>12</v>
      </c>
      <c r="C133" t="s">
        <v>19</v>
      </c>
      <c r="D133" t="s">
        <v>28</v>
      </c>
      <c r="E133">
        <v>5</v>
      </c>
      <c r="F133">
        <v>22776</v>
      </c>
      <c r="G133" s="1">
        <v>45058</v>
      </c>
      <c r="H133">
        <v>113880</v>
      </c>
      <c r="I133">
        <v>4555.2</v>
      </c>
    </row>
    <row r="134" spans="1:9" x14ac:dyDescent="0.25">
      <c r="A134" t="s">
        <v>23</v>
      </c>
      <c r="B134" t="s">
        <v>21</v>
      </c>
      <c r="C134" t="s">
        <v>9</v>
      </c>
      <c r="D134" t="s">
        <v>10</v>
      </c>
      <c r="E134">
        <v>5</v>
      </c>
      <c r="F134">
        <v>25077</v>
      </c>
      <c r="G134" s="1">
        <v>45059</v>
      </c>
      <c r="H134">
        <v>125385</v>
      </c>
      <c r="I134">
        <v>5015.3999999999996</v>
      </c>
    </row>
    <row r="135" spans="1:9" x14ac:dyDescent="0.25">
      <c r="A135" t="s">
        <v>27</v>
      </c>
      <c r="B135" t="s">
        <v>24</v>
      </c>
      <c r="C135" t="s">
        <v>19</v>
      </c>
      <c r="D135" t="s">
        <v>28</v>
      </c>
      <c r="E135">
        <v>4</v>
      </c>
      <c r="F135">
        <v>10374</v>
      </c>
      <c r="G135" s="1">
        <v>45060</v>
      </c>
      <c r="H135">
        <v>41496</v>
      </c>
      <c r="I135">
        <v>2074.8000000000002</v>
      </c>
    </row>
    <row r="136" spans="1:9" x14ac:dyDescent="0.25">
      <c r="A136" t="s">
        <v>29</v>
      </c>
      <c r="B136" t="s">
        <v>21</v>
      </c>
      <c r="C136" t="s">
        <v>9</v>
      </c>
      <c r="D136" t="s">
        <v>17</v>
      </c>
      <c r="E136">
        <v>6</v>
      </c>
      <c r="F136">
        <v>36435</v>
      </c>
      <c r="G136" s="1">
        <v>45061</v>
      </c>
      <c r="H136">
        <v>218610</v>
      </c>
      <c r="I136">
        <v>7287</v>
      </c>
    </row>
    <row r="137" spans="1:9" x14ac:dyDescent="0.25">
      <c r="A137" t="s">
        <v>22</v>
      </c>
      <c r="B137" t="s">
        <v>8</v>
      </c>
      <c r="C137" t="s">
        <v>19</v>
      </c>
      <c r="D137" t="s">
        <v>28</v>
      </c>
      <c r="E137">
        <v>7</v>
      </c>
      <c r="F137">
        <v>31907</v>
      </c>
      <c r="G137" s="1">
        <v>45062</v>
      </c>
      <c r="H137">
        <v>223349</v>
      </c>
      <c r="I137">
        <v>6381.4</v>
      </c>
    </row>
    <row r="138" spans="1:9" x14ac:dyDescent="0.25">
      <c r="A138" t="s">
        <v>32</v>
      </c>
      <c r="B138" t="s">
        <v>21</v>
      </c>
      <c r="C138" t="s">
        <v>9</v>
      </c>
      <c r="D138" t="s">
        <v>25</v>
      </c>
      <c r="E138">
        <v>9</v>
      </c>
      <c r="F138">
        <v>14409</v>
      </c>
      <c r="G138" s="1">
        <v>45063</v>
      </c>
      <c r="H138">
        <v>129681</v>
      </c>
      <c r="I138">
        <v>2881.8</v>
      </c>
    </row>
    <row r="139" spans="1:9" x14ac:dyDescent="0.25">
      <c r="A139" t="s">
        <v>18</v>
      </c>
      <c r="B139" t="s">
        <v>8</v>
      </c>
      <c r="C139" t="s">
        <v>19</v>
      </c>
      <c r="D139" t="s">
        <v>17</v>
      </c>
      <c r="E139">
        <v>1</v>
      </c>
      <c r="F139">
        <v>17514</v>
      </c>
      <c r="G139" s="1">
        <v>45064</v>
      </c>
      <c r="H139">
        <v>17514</v>
      </c>
      <c r="I139">
        <v>3502.8</v>
      </c>
    </row>
    <row r="140" spans="1:9" x14ac:dyDescent="0.25">
      <c r="A140" t="s">
        <v>27</v>
      </c>
      <c r="B140" t="s">
        <v>21</v>
      </c>
      <c r="C140" t="s">
        <v>16</v>
      </c>
      <c r="D140" t="s">
        <v>20</v>
      </c>
      <c r="E140">
        <v>6</v>
      </c>
      <c r="F140">
        <v>30866</v>
      </c>
      <c r="G140" s="1">
        <v>45065</v>
      </c>
      <c r="H140">
        <v>185196</v>
      </c>
      <c r="I140">
        <v>6173.2</v>
      </c>
    </row>
    <row r="141" spans="1:9" x14ac:dyDescent="0.25">
      <c r="A141" t="s">
        <v>11</v>
      </c>
      <c r="B141" t="s">
        <v>24</v>
      </c>
      <c r="C141" t="s">
        <v>13</v>
      </c>
      <c r="D141" t="s">
        <v>25</v>
      </c>
      <c r="E141">
        <v>7</v>
      </c>
      <c r="F141">
        <v>3983</v>
      </c>
      <c r="G141" s="1">
        <v>45066</v>
      </c>
      <c r="H141">
        <v>27881</v>
      </c>
      <c r="I141">
        <v>796.6</v>
      </c>
    </row>
    <row r="142" spans="1:9" x14ac:dyDescent="0.25">
      <c r="A142" t="s">
        <v>22</v>
      </c>
      <c r="B142" t="s">
        <v>24</v>
      </c>
      <c r="C142" t="s">
        <v>19</v>
      </c>
      <c r="D142" t="s">
        <v>26</v>
      </c>
      <c r="E142">
        <v>3</v>
      </c>
      <c r="F142">
        <v>32705</v>
      </c>
      <c r="G142" s="1">
        <v>45067</v>
      </c>
      <c r="H142">
        <v>98115</v>
      </c>
      <c r="I142">
        <v>6541</v>
      </c>
    </row>
    <row r="143" spans="1:9" x14ac:dyDescent="0.25">
      <c r="A143" t="s">
        <v>7</v>
      </c>
      <c r="B143" t="s">
        <v>8</v>
      </c>
      <c r="C143" t="s">
        <v>9</v>
      </c>
      <c r="D143" t="s">
        <v>17</v>
      </c>
      <c r="E143">
        <v>8</v>
      </c>
      <c r="F143">
        <v>21662</v>
      </c>
      <c r="G143" s="1">
        <v>45068</v>
      </c>
      <c r="H143">
        <v>173296</v>
      </c>
      <c r="I143">
        <v>4332.3999999999996</v>
      </c>
    </row>
    <row r="144" spans="1:9" x14ac:dyDescent="0.25">
      <c r="A144" t="s">
        <v>32</v>
      </c>
      <c r="B144" t="s">
        <v>12</v>
      </c>
      <c r="C144" t="s">
        <v>16</v>
      </c>
      <c r="D144" t="s">
        <v>20</v>
      </c>
      <c r="E144">
        <v>5</v>
      </c>
      <c r="F144">
        <v>24510</v>
      </c>
      <c r="G144" s="1">
        <v>45069</v>
      </c>
      <c r="H144">
        <v>122550</v>
      </c>
      <c r="I144">
        <v>4902</v>
      </c>
    </row>
    <row r="145" spans="1:9" x14ac:dyDescent="0.25">
      <c r="A145" t="s">
        <v>7</v>
      </c>
      <c r="B145" t="s">
        <v>8</v>
      </c>
      <c r="C145" t="s">
        <v>19</v>
      </c>
      <c r="D145" t="s">
        <v>30</v>
      </c>
      <c r="E145">
        <v>9</v>
      </c>
      <c r="F145">
        <v>13651</v>
      </c>
      <c r="G145" s="1">
        <v>45070</v>
      </c>
      <c r="H145">
        <v>122859</v>
      </c>
      <c r="I145">
        <v>2730.2</v>
      </c>
    </row>
    <row r="146" spans="1:9" x14ac:dyDescent="0.25">
      <c r="A146" t="s">
        <v>31</v>
      </c>
      <c r="B146" t="s">
        <v>8</v>
      </c>
      <c r="C146" t="s">
        <v>19</v>
      </c>
      <c r="D146" t="s">
        <v>28</v>
      </c>
      <c r="E146">
        <v>5</v>
      </c>
      <c r="F146">
        <v>41998</v>
      </c>
      <c r="G146" s="1">
        <v>45071</v>
      </c>
      <c r="H146">
        <v>209990</v>
      </c>
      <c r="I146">
        <v>8399.6</v>
      </c>
    </row>
    <row r="147" spans="1:9" x14ac:dyDescent="0.25">
      <c r="A147" t="s">
        <v>31</v>
      </c>
      <c r="B147" t="s">
        <v>21</v>
      </c>
      <c r="C147" t="s">
        <v>16</v>
      </c>
      <c r="D147" t="s">
        <v>10</v>
      </c>
      <c r="E147">
        <v>9</v>
      </c>
      <c r="F147">
        <v>29535</v>
      </c>
      <c r="G147" s="1">
        <v>45072</v>
      </c>
      <c r="H147">
        <v>265815</v>
      </c>
      <c r="I147">
        <v>5907</v>
      </c>
    </row>
    <row r="148" spans="1:9" x14ac:dyDescent="0.25">
      <c r="A148" t="s">
        <v>32</v>
      </c>
      <c r="B148" t="s">
        <v>21</v>
      </c>
      <c r="C148" t="s">
        <v>19</v>
      </c>
      <c r="D148" t="s">
        <v>14</v>
      </c>
      <c r="E148">
        <v>4</v>
      </c>
      <c r="F148">
        <v>7640</v>
      </c>
      <c r="G148" s="1">
        <v>45073</v>
      </c>
      <c r="H148">
        <v>30560</v>
      </c>
      <c r="I148">
        <v>1528</v>
      </c>
    </row>
    <row r="149" spans="1:9" x14ac:dyDescent="0.25">
      <c r="A149" t="s">
        <v>32</v>
      </c>
      <c r="B149" t="s">
        <v>8</v>
      </c>
      <c r="C149" t="s">
        <v>13</v>
      </c>
      <c r="D149" t="s">
        <v>28</v>
      </c>
      <c r="E149">
        <v>9</v>
      </c>
      <c r="F149">
        <v>45547</v>
      </c>
      <c r="G149" s="1">
        <v>45074</v>
      </c>
      <c r="H149">
        <v>409923</v>
      </c>
      <c r="I149">
        <v>9109.4</v>
      </c>
    </row>
    <row r="150" spans="1:9" x14ac:dyDescent="0.25">
      <c r="A150" t="s">
        <v>11</v>
      </c>
      <c r="B150" t="s">
        <v>24</v>
      </c>
      <c r="C150" t="s">
        <v>19</v>
      </c>
      <c r="D150" t="s">
        <v>20</v>
      </c>
      <c r="E150">
        <v>5</v>
      </c>
      <c r="F150">
        <v>16317</v>
      </c>
      <c r="G150" s="1">
        <v>45075</v>
      </c>
      <c r="H150">
        <v>81585</v>
      </c>
      <c r="I150">
        <v>3263.4</v>
      </c>
    </row>
    <row r="151" spans="1:9" x14ac:dyDescent="0.25">
      <c r="A151" t="s">
        <v>32</v>
      </c>
      <c r="B151" t="s">
        <v>21</v>
      </c>
      <c r="C151" t="s">
        <v>13</v>
      </c>
      <c r="D151" t="s">
        <v>28</v>
      </c>
      <c r="E151">
        <v>9</v>
      </c>
      <c r="F151">
        <v>8564</v>
      </c>
      <c r="G151" s="1">
        <v>45076</v>
      </c>
      <c r="H151">
        <v>77076</v>
      </c>
      <c r="I151">
        <v>1712.8</v>
      </c>
    </row>
    <row r="152" spans="1:9" x14ac:dyDescent="0.25">
      <c r="A152" t="s">
        <v>23</v>
      </c>
      <c r="B152" t="s">
        <v>12</v>
      </c>
      <c r="C152" t="s">
        <v>13</v>
      </c>
      <c r="D152" t="s">
        <v>26</v>
      </c>
      <c r="E152">
        <v>3</v>
      </c>
      <c r="F152">
        <v>28345</v>
      </c>
      <c r="G152" s="1">
        <v>45077</v>
      </c>
      <c r="H152">
        <v>85035</v>
      </c>
      <c r="I152">
        <v>5669</v>
      </c>
    </row>
    <row r="153" spans="1:9" x14ac:dyDescent="0.25">
      <c r="A153" t="s">
        <v>7</v>
      </c>
      <c r="B153" t="s">
        <v>21</v>
      </c>
      <c r="C153" t="s">
        <v>16</v>
      </c>
      <c r="D153" t="s">
        <v>30</v>
      </c>
      <c r="E153">
        <v>4</v>
      </c>
      <c r="F153">
        <v>49288</v>
      </c>
      <c r="G153" s="1">
        <v>45078</v>
      </c>
      <c r="H153">
        <v>197152</v>
      </c>
      <c r="I153">
        <v>9857.6</v>
      </c>
    </row>
    <row r="154" spans="1:9" x14ac:dyDescent="0.25">
      <c r="A154" t="s">
        <v>27</v>
      </c>
      <c r="B154" t="s">
        <v>21</v>
      </c>
      <c r="C154" t="s">
        <v>19</v>
      </c>
      <c r="D154" t="s">
        <v>14</v>
      </c>
      <c r="E154">
        <v>9</v>
      </c>
      <c r="F154">
        <v>29687</v>
      </c>
      <c r="G154" s="1">
        <v>45079</v>
      </c>
      <c r="H154">
        <v>267183</v>
      </c>
      <c r="I154">
        <v>5937.4</v>
      </c>
    </row>
    <row r="155" spans="1:9" x14ac:dyDescent="0.25">
      <c r="A155" t="s">
        <v>15</v>
      </c>
      <c r="B155" t="s">
        <v>12</v>
      </c>
      <c r="C155" t="s">
        <v>16</v>
      </c>
      <c r="D155" t="s">
        <v>17</v>
      </c>
      <c r="E155">
        <v>6</v>
      </c>
      <c r="F155">
        <v>14737</v>
      </c>
      <c r="G155" s="1">
        <v>45080</v>
      </c>
      <c r="H155">
        <v>88422</v>
      </c>
      <c r="I155">
        <v>2947.4</v>
      </c>
    </row>
    <row r="156" spans="1:9" x14ac:dyDescent="0.25">
      <c r="A156" t="s">
        <v>32</v>
      </c>
      <c r="B156" t="s">
        <v>8</v>
      </c>
      <c r="C156" t="s">
        <v>19</v>
      </c>
      <c r="D156" t="s">
        <v>17</v>
      </c>
      <c r="E156">
        <v>2</v>
      </c>
      <c r="F156">
        <v>10323</v>
      </c>
      <c r="G156" s="1">
        <v>45081</v>
      </c>
      <c r="H156">
        <v>20646</v>
      </c>
      <c r="I156">
        <v>2064.6</v>
      </c>
    </row>
    <row r="157" spans="1:9" x14ac:dyDescent="0.25">
      <c r="A157" t="s">
        <v>18</v>
      </c>
      <c r="B157" t="s">
        <v>12</v>
      </c>
      <c r="C157" t="s">
        <v>19</v>
      </c>
      <c r="D157" t="s">
        <v>17</v>
      </c>
      <c r="E157">
        <v>7</v>
      </c>
      <c r="F157">
        <v>16229</v>
      </c>
      <c r="G157" s="1">
        <v>45082</v>
      </c>
      <c r="H157">
        <v>113603</v>
      </c>
      <c r="I157">
        <v>3245.8</v>
      </c>
    </row>
    <row r="158" spans="1:9" x14ac:dyDescent="0.25">
      <c r="A158" t="s">
        <v>31</v>
      </c>
      <c r="B158" t="s">
        <v>8</v>
      </c>
      <c r="C158" t="s">
        <v>9</v>
      </c>
      <c r="D158" t="s">
        <v>20</v>
      </c>
      <c r="E158">
        <v>2</v>
      </c>
      <c r="F158">
        <v>45481</v>
      </c>
      <c r="G158" s="1">
        <v>45083</v>
      </c>
      <c r="H158">
        <v>90962</v>
      </c>
      <c r="I158">
        <v>9096.2000000000007</v>
      </c>
    </row>
    <row r="159" spans="1:9" x14ac:dyDescent="0.25">
      <c r="A159" t="s">
        <v>23</v>
      </c>
      <c r="B159" t="s">
        <v>8</v>
      </c>
      <c r="C159" t="s">
        <v>19</v>
      </c>
      <c r="D159" t="s">
        <v>25</v>
      </c>
      <c r="E159">
        <v>2</v>
      </c>
      <c r="F159">
        <v>9502</v>
      </c>
      <c r="G159" s="1">
        <v>45084</v>
      </c>
      <c r="H159">
        <v>19004</v>
      </c>
      <c r="I159">
        <v>1900.4</v>
      </c>
    </row>
    <row r="160" spans="1:9" x14ac:dyDescent="0.25">
      <c r="A160" t="s">
        <v>22</v>
      </c>
      <c r="B160" t="s">
        <v>8</v>
      </c>
      <c r="C160" t="s">
        <v>16</v>
      </c>
      <c r="D160" t="s">
        <v>25</v>
      </c>
      <c r="E160">
        <v>1</v>
      </c>
      <c r="F160">
        <v>1545</v>
      </c>
      <c r="G160" s="1">
        <v>45085</v>
      </c>
      <c r="H160">
        <v>1545</v>
      </c>
      <c r="I160">
        <v>309</v>
      </c>
    </row>
    <row r="161" spans="1:9" x14ac:dyDescent="0.25">
      <c r="A161" t="s">
        <v>15</v>
      </c>
      <c r="B161" t="s">
        <v>12</v>
      </c>
      <c r="C161" t="s">
        <v>13</v>
      </c>
      <c r="D161" t="s">
        <v>10</v>
      </c>
      <c r="E161">
        <v>3</v>
      </c>
      <c r="F161">
        <v>38114</v>
      </c>
      <c r="G161" s="1">
        <v>45086</v>
      </c>
      <c r="H161">
        <v>114342</v>
      </c>
      <c r="I161">
        <v>7622.8</v>
      </c>
    </row>
    <row r="162" spans="1:9" x14ac:dyDescent="0.25">
      <c r="A162" t="s">
        <v>27</v>
      </c>
      <c r="B162" t="s">
        <v>8</v>
      </c>
      <c r="C162" t="s">
        <v>19</v>
      </c>
      <c r="D162" t="s">
        <v>14</v>
      </c>
      <c r="E162">
        <v>6</v>
      </c>
      <c r="F162">
        <v>30430</v>
      </c>
      <c r="G162" s="1">
        <v>45087</v>
      </c>
      <c r="H162">
        <v>182580</v>
      </c>
      <c r="I162">
        <v>6086</v>
      </c>
    </row>
    <row r="163" spans="1:9" x14ac:dyDescent="0.25">
      <c r="A163" t="s">
        <v>15</v>
      </c>
      <c r="B163" t="s">
        <v>24</v>
      </c>
      <c r="C163" t="s">
        <v>9</v>
      </c>
      <c r="D163" t="s">
        <v>17</v>
      </c>
      <c r="E163">
        <v>8</v>
      </c>
      <c r="F163">
        <v>10996</v>
      </c>
      <c r="G163" s="1">
        <v>45088</v>
      </c>
      <c r="H163">
        <v>87968</v>
      </c>
      <c r="I163">
        <v>2199.1999999999998</v>
      </c>
    </row>
    <row r="164" spans="1:9" x14ac:dyDescent="0.25">
      <c r="A164" t="s">
        <v>32</v>
      </c>
      <c r="B164" t="s">
        <v>12</v>
      </c>
      <c r="C164" t="s">
        <v>16</v>
      </c>
      <c r="D164" t="s">
        <v>25</v>
      </c>
      <c r="E164">
        <v>9</v>
      </c>
      <c r="F164">
        <v>28788</v>
      </c>
      <c r="G164" s="1">
        <v>45089</v>
      </c>
      <c r="H164">
        <v>259092</v>
      </c>
      <c r="I164">
        <v>5757.6</v>
      </c>
    </row>
    <row r="165" spans="1:9" x14ac:dyDescent="0.25">
      <c r="A165" t="s">
        <v>11</v>
      </c>
      <c r="B165" t="s">
        <v>24</v>
      </c>
      <c r="C165" t="s">
        <v>19</v>
      </c>
      <c r="D165" t="s">
        <v>20</v>
      </c>
      <c r="E165">
        <v>7</v>
      </c>
      <c r="F165">
        <v>30969</v>
      </c>
      <c r="G165" s="1">
        <v>45090</v>
      </c>
      <c r="H165">
        <v>216783</v>
      </c>
      <c r="I165">
        <v>6193.8</v>
      </c>
    </row>
    <row r="166" spans="1:9" x14ac:dyDescent="0.25">
      <c r="A166" t="s">
        <v>31</v>
      </c>
      <c r="B166" t="s">
        <v>8</v>
      </c>
      <c r="C166" t="s">
        <v>16</v>
      </c>
      <c r="D166" t="s">
        <v>10</v>
      </c>
      <c r="E166">
        <v>4</v>
      </c>
      <c r="F166">
        <v>49543</v>
      </c>
      <c r="G166" s="1">
        <v>45091</v>
      </c>
      <c r="H166">
        <v>198172</v>
      </c>
      <c r="I166">
        <v>9908.6</v>
      </c>
    </row>
    <row r="167" spans="1:9" x14ac:dyDescent="0.25">
      <c r="A167" t="s">
        <v>31</v>
      </c>
      <c r="B167" t="s">
        <v>21</v>
      </c>
      <c r="C167" t="s">
        <v>9</v>
      </c>
      <c r="D167" t="s">
        <v>30</v>
      </c>
      <c r="E167">
        <v>6</v>
      </c>
      <c r="F167">
        <v>14919</v>
      </c>
      <c r="G167" s="1">
        <v>45092</v>
      </c>
      <c r="H167">
        <v>89514</v>
      </c>
      <c r="I167">
        <v>2983.8</v>
      </c>
    </row>
    <row r="168" spans="1:9" x14ac:dyDescent="0.25">
      <c r="A168" t="s">
        <v>22</v>
      </c>
      <c r="B168" t="s">
        <v>8</v>
      </c>
      <c r="C168" t="s">
        <v>9</v>
      </c>
      <c r="D168" t="s">
        <v>10</v>
      </c>
      <c r="E168">
        <v>5</v>
      </c>
      <c r="F168">
        <v>4810</v>
      </c>
      <c r="G168" s="1">
        <v>45093</v>
      </c>
      <c r="H168">
        <v>24050</v>
      </c>
      <c r="I168">
        <v>962</v>
      </c>
    </row>
    <row r="169" spans="1:9" x14ac:dyDescent="0.25">
      <c r="A169" t="s">
        <v>11</v>
      </c>
      <c r="B169" t="s">
        <v>24</v>
      </c>
      <c r="C169" t="s">
        <v>16</v>
      </c>
      <c r="D169" t="s">
        <v>25</v>
      </c>
      <c r="E169">
        <v>8</v>
      </c>
      <c r="F169">
        <v>31586</v>
      </c>
      <c r="G169" s="1">
        <v>45094</v>
      </c>
      <c r="H169">
        <v>252688</v>
      </c>
      <c r="I169">
        <v>6317.2</v>
      </c>
    </row>
    <row r="170" spans="1:9" x14ac:dyDescent="0.25">
      <c r="A170" t="s">
        <v>7</v>
      </c>
      <c r="B170" t="s">
        <v>24</v>
      </c>
      <c r="C170" t="s">
        <v>19</v>
      </c>
      <c r="D170" t="s">
        <v>26</v>
      </c>
      <c r="E170">
        <v>1</v>
      </c>
      <c r="F170">
        <v>40974</v>
      </c>
      <c r="G170" s="1">
        <v>45095</v>
      </c>
      <c r="H170">
        <v>40974</v>
      </c>
      <c r="I170">
        <v>8194.7999999999993</v>
      </c>
    </row>
    <row r="171" spans="1:9" x14ac:dyDescent="0.25">
      <c r="A171" t="s">
        <v>29</v>
      </c>
      <c r="B171" t="s">
        <v>12</v>
      </c>
      <c r="C171" t="s">
        <v>13</v>
      </c>
      <c r="D171" t="s">
        <v>20</v>
      </c>
      <c r="E171">
        <v>1</v>
      </c>
      <c r="F171">
        <v>42773</v>
      </c>
      <c r="G171" s="1">
        <v>45096</v>
      </c>
      <c r="H171">
        <v>42773</v>
      </c>
      <c r="I171">
        <v>8554.6</v>
      </c>
    </row>
    <row r="172" spans="1:9" x14ac:dyDescent="0.25">
      <c r="A172" t="s">
        <v>23</v>
      </c>
      <c r="B172" t="s">
        <v>21</v>
      </c>
      <c r="C172" t="s">
        <v>9</v>
      </c>
      <c r="D172" t="s">
        <v>26</v>
      </c>
      <c r="E172">
        <v>6</v>
      </c>
      <c r="F172">
        <v>17371</v>
      </c>
      <c r="G172" s="1">
        <v>45097</v>
      </c>
      <c r="H172">
        <v>104226</v>
      </c>
      <c r="I172">
        <v>3474.2</v>
      </c>
    </row>
    <row r="173" spans="1:9" x14ac:dyDescent="0.25">
      <c r="A173" t="s">
        <v>31</v>
      </c>
      <c r="B173" t="s">
        <v>12</v>
      </c>
      <c r="C173" t="s">
        <v>19</v>
      </c>
      <c r="D173" t="s">
        <v>17</v>
      </c>
      <c r="E173">
        <v>2</v>
      </c>
      <c r="F173">
        <v>46084</v>
      </c>
      <c r="G173" s="1">
        <v>45098</v>
      </c>
      <c r="H173">
        <v>92168</v>
      </c>
      <c r="I173">
        <v>9216.7999999999993</v>
      </c>
    </row>
    <row r="174" spans="1:9" x14ac:dyDescent="0.25">
      <c r="A174" t="s">
        <v>18</v>
      </c>
      <c r="B174" t="s">
        <v>24</v>
      </c>
      <c r="C174" t="s">
        <v>19</v>
      </c>
      <c r="D174" t="s">
        <v>26</v>
      </c>
      <c r="E174">
        <v>5</v>
      </c>
      <c r="F174">
        <v>30629</v>
      </c>
      <c r="G174" s="1">
        <v>45099</v>
      </c>
      <c r="H174">
        <v>153145</v>
      </c>
      <c r="I174">
        <v>6125.8</v>
      </c>
    </row>
    <row r="175" spans="1:9" x14ac:dyDescent="0.25">
      <c r="A175" t="s">
        <v>31</v>
      </c>
      <c r="B175" t="s">
        <v>8</v>
      </c>
      <c r="C175" t="s">
        <v>13</v>
      </c>
      <c r="D175" t="s">
        <v>17</v>
      </c>
      <c r="E175">
        <v>1</v>
      </c>
      <c r="F175">
        <v>9436</v>
      </c>
      <c r="G175" s="1">
        <v>45100</v>
      </c>
      <c r="H175">
        <v>9436</v>
      </c>
      <c r="I175">
        <v>1887.2</v>
      </c>
    </row>
    <row r="176" spans="1:9" x14ac:dyDescent="0.25">
      <c r="A176" t="s">
        <v>15</v>
      </c>
      <c r="B176" t="s">
        <v>21</v>
      </c>
      <c r="C176" t="s">
        <v>9</v>
      </c>
      <c r="D176" t="s">
        <v>17</v>
      </c>
      <c r="E176">
        <v>7</v>
      </c>
      <c r="F176">
        <v>13984</v>
      </c>
      <c r="G176" s="1">
        <v>45101</v>
      </c>
      <c r="H176">
        <v>97888</v>
      </c>
      <c r="I176">
        <v>2796.8</v>
      </c>
    </row>
    <row r="177" spans="1:9" x14ac:dyDescent="0.25">
      <c r="A177" t="s">
        <v>31</v>
      </c>
      <c r="B177" t="s">
        <v>8</v>
      </c>
      <c r="C177" t="s">
        <v>9</v>
      </c>
      <c r="D177" t="s">
        <v>25</v>
      </c>
      <c r="E177">
        <v>1</v>
      </c>
      <c r="F177">
        <v>34039</v>
      </c>
      <c r="G177" s="1">
        <v>45102</v>
      </c>
      <c r="H177">
        <v>34039</v>
      </c>
      <c r="I177">
        <v>6807.8</v>
      </c>
    </row>
    <row r="178" spans="1:9" x14ac:dyDescent="0.25">
      <c r="A178" t="s">
        <v>31</v>
      </c>
      <c r="B178" t="s">
        <v>8</v>
      </c>
      <c r="C178" t="s">
        <v>19</v>
      </c>
      <c r="D178" t="s">
        <v>26</v>
      </c>
      <c r="E178">
        <v>4</v>
      </c>
      <c r="F178">
        <v>20895</v>
      </c>
      <c r="G178" s="1">
        <v>45103</v>
      </c>
      <c r="H178">
        <v>83580</v>
      </c>
      <c r="I178">
        <v>4179</v>
      </c>
    </row>
    <row r="179" spans="1:9" x14ac:dyDescent="0.25">
      <c r="A179" t="s">
        <v>29</v>
      </c>
      <c r="B179" t="s">
        <v>21</v>
      </c>
      <c r="C179" t="s">
        <v>19</v>
      </c>
      <c r="D179" t="s">
        <v>17</v>
      </c>
      <c r="E179">
        <v>9</v>
      </c>
      <c r="F179">
        <v>19155</v>
      </c>
      <c r="G179" s="1">
        <v>45104</v>
      </c>
      <c r="H179">
        <v>172395</v>
      </c>
      <c r="I179">
        <v>3831</v>
      </c>
    </row>
    <row r="180" spans="1:9" x14ac:dyDescent="0.25">
      <c r="A180" t="s">
        <v>29</v>
      </c>
      <c r="B180" t="s">
        <v>12</v>
      </c>
      <c r="C180" t="s">
        <v>13</v>
      </c>
      <c r="D180" t="s">
        <v>14</v>
      </c>
      <c r="E180">
        <v>1</v>
      </c>
      <c r="F180">
        <v>11616</v>
      </c>
      <c r="G180" s="1">
        <v>45105</v>
      </c>
      <c r="H180">
        <v>11616</v>
      </c>
      <c r="I180">
        <v>2323.1999999999998</v>
      </c>
    </row>
    <row r="181" spans="1:9" x14ac:dyDescent="0.25">
      <c r="A181" t="s">
        <v>27</v>
      </c>
      <c r="B181" t="s">
        <v>8</v>
      </c>
      <c r="C181" t="s">
        <v>13</v>
      </c>
      <c r="D181" t="s">
        <v>30</v>
      </c>
      <c r="E181">
        <v>4</v>
      </c>
      <c r="F181">
        <v>38129</v>
      </c>
      <c r="G181" s="1">
        <v>45106</v>
      </c>
      <c r="H181">
        <v>152516</v>
      </c>
      <c r="I181">
        <v>7625.8</v>
      </c>
    </row>
    <row r="182" spans="1:9" x14ac:dyDescent="0.25">
      <c r="A182" t="s">
        <v>7</v>
      </c>
      <c r="B182" t="s">
        <v>24</v>
      </c>
      <c r="C182" t="s">
        <v>9</v>
      </c>
      <c r="D182" t="s">
        <v>10</v>
      </c>
      <c r="E182">
        <v>6</v>
      </c>
      <c r="F182">
        <v>40837</v>
      </c>
      <c r="G182" s="1">
        <v>45107</v>
      </c>
      <c r="H182">
        <v>245022</v>
      </c>
      <c r="I182">
        <v>8167.4</v>
      </c>
    </row>
    <row r="183" spans="1:9" x14ac:dyDescent="0.25">
      <c r="A183" t="s">
        <v>18</v>
      </c>
      <c r="B183" t="s">
        <v>8</v>
      </c>
      <c r="C183" t="s">
        <v>16</v>
      </c>
      <c r="D183" t="s">
        <v>10</v>
      </c>
      <c r="E183">
        <v>6</v>
      </c>
      <c r="F183">
        <v>25574</v>
      </c>
      <c r="G183" s="1">
        <v>45108</v>
      </c>
      <c r="H183">
        <v>153444</v>
      </c>
      <c r="I183">
        <v>5114.8</v>
      </c>
    </row>
    <row r="184" spans="1:9" x14ac:dyDescent="0.25">
      <c r="A184" t="s">
        <v>31</v>
      </c>
      <c r="B184" t="s">
        <v>21</v>
      </c>
      <c r="C184" t="s">
        <v>9</v>
      </c>
      <c r="D184" t="s">
        <v>25</v>
      </c>
      <c r="E184">
        <v>8</v>
      </c>
      <c r="F184">
        <v>4430</v>
      </c>
      <c r="G184" s="1">
        <v>45109</v>
      </c>
      <c r="H184">
        <v>35440</v>
      </c>
      <c r="I184">
        <v>886</v>
      </c>
    </row>
    <row r="185" spans="1:9" x14ac:dyDescent="0.25">
      <c r="A185" t="s">
        <v>31</v>
      </c>
      <c r="B185" t="s">
        <v>21</v>
      </c>
      <c r="C185" t="s">
        <v>19</v>
      </c>
      <c r="D185" t="s">
        <v>26</v>
      </c>
      <c r="E185">
        <v>1</v>
      </c>
      <c r="F185">
        <v>13676</v>
      </c>
      <c r="G185" s="1">
        <v>45110</v>
      </c>
      <c r="H185">
        <v>13676</v>
      </c>
      <c r="I185">
        <v>2735.2</v>
      </c>
    </row>
    <row r="186" spans="1:9" x14ac:dyDescent="0.25">
      <c r="A186" t="s">
        <v>23</v>
      </c>
      <c r="B186" t="s">
        <v>21</v>
      </c>
      <c r="C186" t="s">
        <v>9</v>
      </c>
      <c r="D186" t="s">
        <v>26</v>
      </c>
      <c r="E186">
        <v>7</v>
      </c>
      <c r="F186">
        <v>11816</v>
      </c>
      <c r="G186" s="1">
        <v>45111</v>
      </c>
      <c r="H186">
        <v>82712</v>
      </c>
      <c r="I186">
        <v>2363.1999999999998</v>
      </c>
    </row>
    <row r="187" spans="1:9" x14ac:dyDescent="0.25">
      <c r="A187" t="s">
        <v>29</v>
      </c>
      <c r="B187" t="s">
        <v>12</v>
      </c>
      <c r="C187" t="s">
        <v>16</v>
      </c>
      <c r="D187" t="s">
        <v>17</v>
      </c>
      <c r="E187">
        <v>1</v>
      </c>
      <c r="F187">
        <v>33733</v>
      </c>
      <c r="G187" s="1">
        <v>45112</v>
      </c>
      <c r="H187">
        <v>33733</v>
      </c>
      <c r="I187">
        <v>6746.6</v>
      </c>
    </row>
    <row r="188" spans="1:9" x14ac:dyDescent="0.25">
      <c r="A188" t="s">
        <v>18</v>
      </c>
      <c r="B188" t="s">
        <v>8</v>
      </c>
      <c r="C188" t="s">
        <v>13</v>
      </c>
      <c r="D188" t="s">
        <v>20</v>
      </c>
      <c r="E188">
        <v>7</v>
      </c>
      <c r="F188">
        <v>21144</v>
      </c>
      <c r="G188" s="1">
        <v>45113</v>
      </c>
      <c r="H188">
        <v>148008</v>
      </c>
      <c r="I188">
        <v>4228.8</v>
      </c>
    </row>
    <row r="189" spans="1:9" x14ac:dyDescent="0.25">
      <c r="A189" t="s">
        <v>22</v>
      </c>
      <c r="B189" t="s">
        <v>12</v>
      </c>
      <c r="C189" t="s">
        <v>16</v>
      </c>
      <c r="D189" t="s">
        <v>28</v>
      </c>
      <c r="E189">
        <v>3</v>
      </c>
      <c r="F189">
        <v>3050</v>
      </c>
      <c r="G189" s="1">
        <v>45114</v>
      </c>
      <c r="H189">
        <v>9150</v>
      </c>
      <c r="I189">
        <v>610</v>
      </c>
    </row>
    <row r="190" spans="1:9" x14ac:dyDescent="0.25">
      <c r="A190" t="s">
        <v>27</v>
      </c>
      <c r="B190" t="s">
        <v>12</v>
      </c>
      <c r="C190" t="s">
        <v>16</v>
      </c>
      <c r="D190" t="s">
        <v>17</v>
      </c>
      <c r="E190">
        <v>8</v>
      </c>
      <c r="F190">
        <v>45460</v>
      </c>
      <c r="G190" s="1">
        <v>45115</v>
      </c>
      <c r="H190">
        <v>363680</v>
      </c>
      <c r="I190">
        <v>9092</v>
      </c>
    </row>
    <row r="191" spans="1:9" x14ac:dyDescent="0.25">
      <c r="A191" t="s">
        <v>7</v>
      </c>
      <c r="B191" t="s">
        <v>21</v>
      </c>
      <c r="C191" t="s">
        <v>16</v>
      </c>
      <c r="D191" t="s">
        <v>30</v>
      </c>
      <c r="E191">
        <v>3</v>
      </c>
      <c r="F191">
        <v>34933</v>
      </c>
      <c r="G191" s="1">
        <v>45116</v>
      </c>
      <c r="H191">
        <v>104799</v>
      </c>
      <c r="I191">
        <v>6986.6</v>
      </c>
    </row>
    <row r="192" spans="1:9" x14ac:dyDescent="0.25">
      <c r="A192" t="s">
        <v>11</v>
      </c>
      <c r="B192" t="s">
        <v>21</v>
      </c>
      <c r="C192" t="s">
        <v>13</v>
      </c>
      <c r="D192" t="s">
        <v>14</v>
      </c>
      <c r="E192">
        <v>1</v>
      </c>
      <c r="F192">
        <v>25951</v>
      </c>
      <c r="G192" s="1">
        <v>45117</v>
      </c>
      <c r="H192">
        <v>25951</v>
      </c>
      <c r="I192">
        <v>5190.2</v>
      </c>
    </row>
    <row r="193" spans="1:9" x14ac:dyDescent="0.25">
      <c r="A193" t="s">
        <v>7</v>
      </c>
      <c r="B193" t="s">
        <v>12</v>
      </c>
      <c r="C193" t="s">
        <v>16</v>
      </c>
      <c r="D193" t="s">
        <v>10</v>
      </c>
      <c r="E193">
        <v>8</v>
      </c>
      <c r="F193">
        <v>33413</v>
      </c>
      <c r="G193" s="1">
        <v>45118</v>
      </c>
      <c r="H193">
        <v>267304</v>
      </c>
      <c r="I193">
        <v>6682.6</v>
      </c>
    </row>
    <row r="194" spans="1:9" x14ac:dyDescent="0.25">
      <c r="A194" t="s">
        <v>15</v>
      </c>
      <c r="B194" t="s">
        <v>8</v>
      </c>
      <c r="C194" t="s">
        <v>16</v>
      </c>
      <c r="D194" t="s">
        <v>17</v>
      </c>
      <c r="E194">
        <v>3</v>
      </c>
      <c r="F194">
        <v>35801</v>
      </c>
      <c r="G194" s="1">
        <v>45119</v>
      </c>
      <c r="H194">
        <v>107403</v>
      </c>
      <c r="I194">
        <v>7160.2</v>
      </c>
    </row>
    <row r="195" spans="1:9" x14ac:dyDescent="0.25">
      <c r="A195" t="s">
        <v>31</v>
      </c>
      <c r="B195" t="s">
        <v>24</v>
      </c>
      <c r="C195" t="s">
        <v>16</v>
      </c>
      <c r="D195" t="s">
        <v>28</v>
      </c>
      <c r="E195">
        <v>2</v>
      </c>
      <c r="F195">
        <v>33913</v>
      </c>
      <c r="G195" s="1">
        <v>45120</v>
      </c>
      <c r="H195">
        <v>67826</v>
      </c>
      <c r="I195">
        <v>6782.6</v>
      </c>
    </row>
    <row r="196" spans="1:9" x14ac:dyDescent="0.25">
      <c r="A196" t="s">
        <v>27</v>
      </c>
      <c r="B196" t="s">
        <v>12</v>
      </c>
      <c r="C196" t="s">
        <v>19</v>
      </c>
      <c r="D196" t="s">
        <v>28</v>
      </c>
      <c r="E196">
        <v>1</v>
      </c>
      <c r="F196">
        <v>48037</v>
      </c>
      <c r="G196" s="1">
        <v>45121</v>
      </c>
      <c r="H196">
        <v>48037</v>
      </c>
      <c r="I196">
        <v>9607.4</v>
      </c>
    </row>
    <row r="197" spans="1:9" x14ac:dyDescent="0.25">
      <c r="A197" t="s">
        <v>15</v>
      </c>
      <c r="B197" t="s">
        <v>8</v>
      </c>
      <c r="C197" t="s">
        <v>16</v>
      </c>
      <c r="D197" t="s">
        <v>17</v>
      </c>
      <c r="E197">
        <v>3</v>
      </c>
      <c r="F197">
        <v>41600</v>
      </c>
      <c r="G197" s="1">
        <v>45122</v>
      </c>
      <c r="H197">
        <v>124800</v>
      </c>
      <c r="I197">
        <v>8320</v>
      </c>
    </row>
    <row r="198" spans="1:9" x14ac:dyDescent="0.25">
      <c r="A198" t="s">
        <v>18</v>
      </c>
      <c r="B198" t="s">
        <v>21</v>
      </c>
      <c r="C198" t="s">
        <v>13</v>
      </c>
      <c r="D198" t="s">
        <v>25</v>
      </c>
      <c r="E198">
        <v>2</v>
      </c>
      <c r="F198">
        <v>26280</v>
      </c>
      <c r="G198" s="1">
        <v>45123</v>
      </c>
      <c r="H198">
        <v>52560</v>
      </c>
      <c r="I198">
        <v>5256</v>
      </c>
    </row>
    <row r="199" spans="1:9" x14ac:dyDescent="0.25">
      <c r="A199" t="s">
        <v>11</v>
      </c>
      <c r="B199" t="s">
        <v>21</v>
      </c>
      <c r="C199" t="s">
        <v>16</v>
      </c>
      <c r="D199" t="s">
        <v>10</v>
      </c>
      <c r="E199">
        <v>2</v>
      </c>
      <c r="F199">
        <v>25557</v>
      </c>
      <c r="G199" s="1">
        <v>45124</v>
      </c>
      <c r="H199">
        <v>51114</v>
      </c>
      <c r="I199">
        <v>5111.3999999999996</v>
      </c>
    </row>
    <row r="200" spans="1:9" x14ac:dyDescent="0.25">
      <c r="A200" t="s">
        <v>29</v>
      </c>
      <c r="B200" t="s">
        <v>8</v>
      </c>
      <c r="C200" t="s">
        <v>16</v>
      </c>
      <c r="D200" t="s">
        <v>25</v>
      </c>
      <c r="E200">
        <v>6</v>
      </c>
      <c r="F200">
        <v>48054</v>
      </c>
      <c r="G200" s="1">
        <v>45125</v>
      </c>
      <c r="H200">
        <v>288324</v>
      </c>
      <c r="I200">
        <v>9610.7999999999993</v>
      </c>
    </row>
    <row r="201" spans="1:9" x14ac:dyDescent="0.25">
      <c r="A201" t="s">
        <v>27</v>
      </c>
      <c r="B201" t="s">
        <v>24</v>
      </c>
      <c r="C201" t="s">
        <v>13</v>
      </c>
      <c r="D201" t="s">
        <v>14</v>
      </c>
      <c r="E201">
        <v>1</v>
      </c>
      <c r="F201">
        <v>36400</v>
      </c>
      <c r="G201" s="1">
        <v>45126</v>
      </c>
      <c r="H201">
        <v>36400</v>
      </c>
      <c r="I201">
        <v>7280</v>
      </c>
    </row>
    <row r="202" spans="1:9" x14ac:dyDescent="0.25">
      <c r="A202" t="s">
        <v>27</v>
      </c>
      <c r="B202" t="s">
        <v>21</v>
      </c>
      <c r="C202" t="s">
        <v>16</v>
      </c>
      <c r="D202" t="s">
        <v>28</v>
      </c>
      <c r="E202">
        <v>2</v>
      </c>
      <c r="F202">
        <v>5494</v>
      </c>
      <c r="G202" s="1">
        <v>45127</v>
      </c>
      <c r="H202">
        <v>10988</v>
      </c>
      <c r="I202">
        <v>1098.8</v>
      </c>
    </row>
    <row r="203" spans="1:9" x14ac:dyDescent="0.25">
      <c r="A203" t="s">
        <v>31</v>
      </c>
      <c r="B203" t="s">
        <v>21</v>
      </c>
      <c r="C203" t="s">
        <v>13</v>
      </c>
      <c r="D203" t="s">
        <v>28</v>
      </c>
      <c r="E203">
        <v>6</v>
      </c>
      <c r="F203">
        <v>16152</v>
      </c>
      <c r="G203" s="1">
        <v>45128</v>
      </c>
      <c r="H203">
        <v>96912</v>
      </c>
      <c r="I203">
        <v>3230.4</v>
      </c>
    </row>
    <row r="204" spans="1:9" x14ac:dyDescent="0.25">
      <c r="A204" t="s">
        <v>32</v>
      </c>
      <c r="B204" t="s">
        <v>21</v>
      </c>
      <c r="C204" t="s">
        <v>16</v>
      </c>
      <c r="D204" t="s">
        <v>30</v>
      </c>
      <c r="E204">
        <v>3</v>
      </c>
      <c r="F204">
        <v>24895</v>
      </c>
      <c r="G204" s="1">
        <v>45129</v>
      </c>
      <c r="H204">
        <v>74685</v>
      </c>
      <c r="I204">
        <v>4979</v>
      </c>
    </row>
    <row r="205" spans="1:9" x14ac:dyDescent="0.25">
      <c r="A205" t="s">
        <v>27</v>
      </c>
      <c r="B205" t="s">
        <v>8</v>
      </c>
      <c r="C205" t="s">
        <v>13</v>
      </c>
      <c r="D205" t="s">
        <v>14</v>
      </c>
      <c r="E205">
        <v>4</v>
      </c>
      <c r="F205">
        <v>10155</v>
      </c>
      <c r="G205" s="1">
        <v>45130</v>
      </c>
      <c r="H205">
        <v>40620</v>
      </c>
      <c r="I205">
        <v>2031</v>
      </c>
    </row>
    <row r="206" spans="1:9" x14ac:dyDescent="0.25">
      <c r="A206" t="s">
        <v>23</v>
      </c>
      <c r="B206" t="s">
        <v>12</v>
      </c>
      <c r="C206" t="s">
        <v>16</v>
      </c>
      <c r="D206" t="s">
        <v>28</v>
      </c>
      <c r="E206">
        <v>1</v>
      </c>
      <c r="F206">
        <v>32883</v>
      </c>
      <c r="G206" s="1">
        <v>45131</v>
      </c>
      <c r="H206">
        <v>32883</v>
      </c>
      <c r="I206">
        <v>6576.6</v>
      </c>
    </row>
    <row r="207" spans="1:9" x14ac:dyDescent="0.25">
      <c r="A207" t="s">
        <v>11</v>
      </c>
      <c r="B207" t="s">
        <v>21</v>
      </c>
      <c r="C207" t="s">
        <v>16</v>
      </c>
      <c r="D207" t="s">
        <v>14</v>
      </c>
      <c r="E207">
        <v>8</v>
      </c>
      <c r="F207">
        <v>44194</v>
      </c>
      <c r="G207" s="1">
        <v>45132</v>
      </c>
      <c r="H207">
        <v>353552</v>
      </c>
      <c r="I207">
        <v>8838.7999999999993</v>
      </c>
    </row>
    <row r="208" spans="1:9" x14ac:dyDescent="0.25">
      <c r="A208" t="s">
        <v>11</v>
      </c>
      <c r="B208" t="s">
        <v>12</v>
      </c>
      <c r="C208" t="s">
        <v>19</v>
      </c>
      <c r="D208" t="s">
        <v>10</v>
      </c>
      <c r="E208">
        <v>7</v>
      </c>
      <c r="F208">
        <v>44001</v>
      </c>
      <c r="G208" s="1">
        <v>45133</v>
      </c>
      <c r="H208">
        <v>308007</v>
      </c>
      <c r="I208">
        <v>8800.2000000000007</v>
      </c>
    </row>
    <row r="209" spans="1:9" x14ac:dyDescent="0.25">
      <c r="A209" t="s">
        <v>23</v>
      </c>
      <c r="B209" t="s">
        <v>24</v>
      </c>
      <c r="C209" t="s">
        <v>19</v>
      </c>
      <c r="D209" t="s">
        <v>26</v>
      </c>
      <c r="E209">
        <v>7</v>
      </c>
      <c r="F209">
        <v>2828</v>
      </c>
      <c r="G209" s="1">
        <v>45134</v>
      </c>
      <c r="H209">
        <v>19796</v>
      </c>
      <c r="I209">
        <v>565.6</v>
      </c>
    </row>
    <row r="210" spans="1:9" x14ac:dyDescent="0.25">
      <c r="A210" t="s">
        <v>22</v>
      </c>
      <c r="B210" t="s">
        <v>21</v>
      </c>
      <c r="C210" t="s">
        <v>16</v>
      </c>
      <c r="D210" t="s">
        <v>28</v>
      </c>
      <c r="E210">
        <v>3</v>
      </c>
      <c r="F210">
        <v>46028</v>
      </c>
      <c r="G210" s="1">
        <v>45135</v>
      </c>
      <c r="H210">
        <v>138084</v>
      </c>
      <c r="I210">
        <v>9205.6</v>
      </c>
    </row>
    <row r="211" spans="1:9" x14ac:dyDescent="0.25">
      <c r="A211" t="s">
        <v>23</v>
      </c>
      <c r="B211" t="s">
        <v>21</v>
      </c>
      <c r="C211" t="s">
        <v>16</v>
      </c>
      <c r="D211" t="s">
        <v>30</v>
      </c>
      <c r="E211">
        <v>3</v>
      </c>
      <c r="F211">
        <v>42898</v>
      </c>
      <c r="G211" s="1">
        <v>45136</v>
      </c>
      <c r="H211">
        <v>128694</v>
      </c>
      <c r="I211">
        <v>8579.6</v>
      </c>
    </row>
    <row r="212" spans="1:9" x14ac:dyDescent="0.25">
      <c r="A212" t="s">
        <v>23</v>
      </c>
      <c r="B212" t="s">
        <v>24</v>
      </c>
      <c r="C212" t="s">
        <v>9</v>
      </c>
      <c r="D212" t="s">
        <v>10</v>
      </c>
      <c r="E212">
        <v>2</v>
      </c>
      <c r="F212">
        <v>33123</v>
      </c>
      <c r="G212" s="1">
        <v>45137</v>
      </c>
      <c r="H212">
        <v>66246</v>
      </c>
      <c r="I212">
        <v>6624.6</v>
      </c>
    </row>
    <row r="213" spans="1:9" x14ac:dyDescent="0.25">
      <c r="A213" t="s">
        <v>11</v>
      </c>
      <c r="B213" t="s">
        <v>21</v>
      </c>
      <c r="C213" t="s">
        <v>13</v>
      </c>
      <c r="D213" t="s">
        <v>17</v>
      </c>
      <c r="E213">
        <v>1</v>
      </c>
      <c r="F213">
        <v>38573</v>
      </c>
      <c r="G213" s="1">
        <v>45138</v>
      </c>
      <c r="H213">
        <v>38573</v>
      </c>
      <c r="I213">
        <v>7714.6</v>
      </c>
    </row>
    <row r="214" spans="1:9" x14ac:dyDescent="0.25">
      <c r="A214" t="s">
        <v>7</v>
      </c>
      <c r="B214" t="s">
        <v>12</v>
      </c>
      <c r="C214" t="s">
        <v>9</v>
      </c>
      <c r="D214" t="s">
        <v>14</v>
      </c>
      <c r="E214">
        <v>7</v>
      </c>
      <c r="F214">
        <v>1806</v>
      </c>
      <c r="G214" s="1">
        <v>45139</v>
      </c>
      <c r="H214">
        <v>12642</v>
      </c>
      <c r="I214">
        <v>361.2</v>
      </c>
    </row>
    <row r="215" spans="1:9" x14ac:dyDescent="0.25">
      <c r="A215" t="s">
        <v>11</v>
      </c>
      <c r="B215" t="s">
        <v>8</v>
      </c>
      <c r="C215" t="s">
        <v>19</v>
      </c>
      <c r="D215" t="s">
        <v>17</v>
      </c>
      <c r="E215">
        <v>7</v>
      </c>
      <c r="F215">
        <v>41970</v>
      </c>
      <c r="G215" s="1">
        <v>45140</v>
      </c>
      <c r="H215">
        <v>293790</v>
      </c>
      <c r="I215">
        <v>8394</v>
      </c>
    </row>
    <row r="216" spans="1:9" x14ac:dyDescent="0.25">
      <c r="A216" t="s">
        <v>32</v>
      </c>
      <c r="B216" t="s">
        <v>12</v>
      </c>
      <c r="C216" t="s">
        <v>19</v>
      </c>
      <c r="D216" t="s">
        <v>25</v>
      </c>
      <c r="E216">
        <v>2</v>
      </c>
      <c r="F216">
        <v>30757</v>
      </c>
      <c r="G216" s="1">
        <v>45141</v>
      </c>
      <c r="H216">
        <v>61514</v>
      </c>
      <c r="I216">
        <v>6151.4</v>
      </c>
    </row>
    <row r="217" spans="1:9" x14ac:dyDescent="0.25">
      <c r="A217" t="s">
        <v>31</v>
      </c>
      <c r="B217" t="s">
        <v>8</v>
      </c>
      <c r="C217" t="s">
        <v>19</v>
      </c>
      <c r="D217" t="s">
        <v>10</v>
      </c>
      <c r="E217">
        <v>7</v>
      </c>
      <c r="F217">
        <v>35636</v>
      </c>
      <c r="G217" s="1">
        <v>45142</v>
      </c>
      <c r="H217">
        <v>249452</v>
      </c>
      <c r="I217">
        <v>7127.2</v>
      </c>
    </row>
    <row r="218" spans="1:9" x14ac:dyDescent="0.25">
      <c r="A218" t="s">
        <v>15</v>
      </c>
      <c r="B218" t="s">
        <v>8</v>
      </c>
      <c r="C218" t="s">
        <v>19</v>
      </c>
      <c r="D218" t="s">
        <v>17</v>
      </c>
      <c r="E218">
        <v>8</v>
      </c>
      <c r="F218">
        <v>15561</v>
      </c>
      <c r="G218" s="1">
        <v>45143</v>
      </c>
      <c r="H218">
        <v>124488</v>
      </c>
      <c r="I218">
        <v>3112.2</v>
      </c>
    </row>
    <row r="219" spans="1:9" x14ac:dyDescent="0.25">
      <c r="A219" t="s">
        <v>7</v>
      </c>
      <c r="B219" t="s">
        <v>12</v>
      </c>
      <c r="C219" t="s">
        <v>16</v>
      </c>
      <c r="D219" t="s">
        <v>20</v>
      </c>
      <c r="E219">
        <v>1</v>
      </c>
      <c r="F219">
        <v>49280</v>
      </c>
      <c r="G219" s="1">
        <v>45144</v>
      </c>
      <c r="H219">
        <v>49280</v>
      </c>
      <c r="I219">
        <v>9856</v>
      </c>
    </row>
    <row r="220" spans="1:9" x14ac:dyDescent="0.25">
      <c r="A220" t="s">
        <v>29</v>
      </c>
      <c r="B220" t="s">
        <v>12</v>
      </c>
      <c r="C220" t="s">
        <v>19</v>
      </c>
      <c r="D220" t="s">
        <v>20</v>
      </c>
      <c r="E220">
        <v>9</v>
      </c>
      <c r="F220">
        <v>25262</v>
      </c>
      <c r="G220" s="1">
        <v>45145</v>
      </c>
      <c r="H220">
        <v>227358</v>
      </c>
      <c r="I220">
        <v>5052.3999999999996</v>
      </c>
    </row>
    <row r="221" spans="1:9" x14ac:dyDescent="0.25">
      <c r="A221" t="s">
        <v>15</v>
      </c>
      <c r="B221" t="s">
        <v>12</v>
      </c>
      <c r="C221" t="s">
        <v>16</v>
      </c>
      <c r="D221" t="s">
        <v>28</v>
      </c>
      <c r="E221">
        <v>7</v>
      </c>
      <c r="F221">
        <v>15899</v>
      </c>
      <c r="G221" s="1">
        <v>45146</v>
      </c>
      <c r="H221">
        <v>111293</v>
      </c>
      <c r="I221">
        <v>3179.8</v>
      </c>
    </row>
    <row r="222" spans="1:9" x14ac:dyDescent="0.25">
      <c r="A222" t="s">
        <v>31</v>
      </c>
      <c r="B222" t="s">
        <v>12</v>
      </c>
      <c r="C222" t="s">
        <v>16</v>
      </c>
      <c r="D222" t="s">
        <v>14</v>
      </c>
      <c r="E222">
        <v>3</v>
      </c>
      <c r="F222">
        <v>49988</v>
      </c>
      <c r="G222" s="1">
        <v>45147</v>
      </c>
      <c r="H222">
        <v>149964</v>
      </c>
      <c r="I222">
        <v>9997.6</v>
      </c>
    </row>
    <row r="223" spans="1:9" x14ac:dyDescent="0.25">
      <c r="A223" t="s">
        <v>32</v>
      </c>
      <c r="B223" t="s">
        <v>24</v>
      </c>
      <c r="C223" t="s">
        <v>19</v>
      </c>
      <c r="D223" t="s">
        <v>26</v>
      </c>
      <c r="E223">
        <v>8</v>
      </c>
      <c r="F223">
        <v>16934</v>
      </c>
      <c r="G223" s="1">
        <v>45148</v>
      </c>
      <c r="H223">
        <v>135472</v>
      </c>
      <c r="I223">
        <v>3386.8</v>
      </c>
    </row>
    <row r="224" spans="1:9" x14ac:dyDescent="0.25">
      <c r="A224" t="s">
        <v>32</v>
      </c>
      <c r="B224" t="s">
        <v>21</v>
      </c>
      <c r="C224" t="s">
        <v>19</v>
      </c>
      <c r="D224" t="s">
        <v>10</v>
      </c>
      <c r="E224">
        <v>7</v>
      </c>
      <c r="F224">
        <v>39197</v>
      </c>
      <c r="G224" s="1">
        <v>45149</v>
      </c>
      <c r="H224">
        <v>274379</v>
      </c>
      <c r="I224">
        <v>7839.4</v>
      </c>
    </row>
    <row r="225" spans="1:9" x14ac:dyDescent="0.25">
      <c r="A225" t="s">
        <v>29</v>
      </c>
      <c r="B225" t="s">
        <v>8</v>
      </c>
      <c r="C225" t="s">
        <v>13</v>
      </c>
      <c r="D225" t="s">
        <v>28</v>
      </c>
      <c r="E225">
        <v>8</v>
      </c>
      <c r="F225">
        <v>42844</v>
      </c>
      <c r="G225" s="1">
        <v>45150</v>
      </c>
      <c r="H225">
        <v>342752</v>
      </c>
      <c r="I225">
        <v>8568.7999999999993</v>
      </c>
    </row>
    <row r="226" spans="1:9" x14ac:dyDescent="0.25">
      <c r="A226" t="s">
        <v>7</v>
      </c>
      <c r="B226" t="s">
        <v>12</v>
      </c>
      <c r="C226" t="s">
        <v>9</v>
      </c>
      <c r="D226" t="s">
        <v>30</v>
      </c>
      <c r="E226">
        <v>6</v>
      </c>
      <c r="F226">
        <v>37332</v>
      </c>
      <c r="G226" s="1">
        <v>45151</v>
      </c>
      <c r="H226">
        <v>223992</v>
      </c>
      <c r="I226">
        <v>7466.4</v>
      </c>
    </row>
    <row r="227" spans="1:9" x14ac:dyDescent="0.25">
      <c r="A227" t="s">
        <v>22</v>
      </c>
      <c r="B227" t="s">
        <v>12</v>
      </c>
      <c r="C227" t="s">
        <v>19</v>
      </c>
      <c r="D227" t="s">
        <v>25</v>
      </c>
      <c r="E227">
        <v>9</v>
      </c>
      <c r="F227">
        <v>35157</v>
      </c>
      <c r="G227" s="1">
        <v>45152</v>
      </c>
      <c r="H227">
        <v>316413</v>
      </c>
      <c r="I227">
        <v>7031.4</v>
      </c>
    </row>
    <row r="228" spans="1:9" x14ac:dyDescent="0.25">
      <c r="A228" t="s">
        <v>23</v>
      </c>
      <c r="B228" t="s">
        <v>12</v>
      </c>
      <c r="C228" t="s">
        <v>13</v>
      </c>
      <c r="D228" t="s">
        <v>14</v>
      </c>
      <c r="E228">
        <v>5</v>
      </c>
      <c r="F228">
        <v>12593</v>
      </c>
      <c r="G228" s="1">
        <v>45153</v>
      </c>
      <c r="H228">
        <v>62965</v>
      </c>
      <c r="I228">
        <v>2518.6</v>
      </c>
    </row>
    <row r="229" spans="1:9" x14ac:dyDescent="0.25">
      <c r="A229" t="s">
        <v>7</v>
      </c>
      <c r="B229" t="s">
        <v>24</v>
      </c>
      <c r="C229" t="s">
        <v>13</v>
      </c>
      <c r="D229" t="s">
        <v>10</v>
      </c>
      <c r="E229">
        <v>3</v>
      </c>
      <c r="F229">
        <v>41042</v>
      </c>
      <c r="G229" s="1">
        <v>45154</v>
      </c>
      <c r="H229">
        <v>123126</v>
      </c>
      <c r="I229">
        <v>8208.4</v>
      </c>
    </row>
    <row r="230" spans="1:9" x14ac:dyDescent="0.25">
      <c r="A230" t="s">
        <v>22</v>
      </c>
      <c r="B230" t="s">
        <v>12</v>
      </c>
      <c r="C230" t="s">
        <v>9</v>
      </c>
      <c r="D230" t="s">
        <v>20</v>
      </c>
      <c r="E230">
        <v>3</v>
      </c>
      <c r="F230">
        <v>18320</v>
      </c>
      <c r="G230" s="1">
        <v>45155</v>
      </c>
      <c r="H230">
        <v>54960</v>
      </c>
      <c r="I230">
        <v>3664</v>
      </c>
    </row>
    <row r="231" spans="1:9" x14ac:dyDescent="0.25">
      <c r="A231" t="s">
        <v>32</v>
      </c>
      <c r="B231" t="s">
        <v>12</v>
      </c>
      <c r="C231" t="s">
        <v>16</v>
      </c>
      <c r="D231" t="s">
        <v>10</v>
      </c>
      <c r="E231">
        <v>1</v>
      </c>
      <c r="F231">
        <v>28376</v>
      </c>
      <c r="G231" s="1">
        <v>45156</v>
      </c>
      <c r="H231">
        <v>28376</v>
      </c>
      <c r="I231">
        <v>5675.2</v>
      </c>
    </row>
    <row r="232" spans="1:9" x14ac:dyDescent="0.25">
      <c r="A232" t="s">
        <v>11</v>
      </c>
      <c r="B232" t="s">
        <v>12</v>
      </c>
      <c r="C232" t="s">
        <v>19</v>
      </c>
      <c r="D232" t="s">
        <v>26</v>
      </c>
      <c r="E232">
        <v>8</v>
      </c>
      <c r="F232">
        <v>44513</v>
      </c>
      <c r="G232" s="1">
        <v>45157</v>
      </c>
      <c r="H232">
        <v>356104</v>
      </c>
      <c r="I232">
        <v>8902.6</v>
      </c>
    </row>
    <row r="233" spans="1:9" x14ac:dyDescent="0.25">
      <c r="A233" t="s">
        <v>31</v>
      </c>
      <c r="B233" t="s">
        <v>21</v>
      </c>
      <c r="C233" t="s">
        <v>9</v>
      </c>
      <c r="D233" t="s">
        <v>20</v>
      </c>
      <c r="E233">
        <v>2</v>
      </c>
      <c r="F233">
        <v>15199</v>
      </c>
      <c r="G233" s="1">
        <v>45158</v>
      </c>
      <c r="H233">
        <v>30398</v>
      </c>
      <c r="I233">
        <v>3039.8</v>
      </c>
    </row>
    <row r="234" spans="1:9" x14ac:dyDescent="0.25">
      <c r="A234" t="s">
        <v>29</v>
      </c>
      <c r="B234" t="s">
        <v>24</v>
      </c>
      <c r="C234" t="s">
        <v>19</v>
      </c>
      <c r="D234" t="s">
        <v>26</v>
      </c>
      <c r="E234">
        <v>3</v>
      </c>
      <c r="F234">
        <v>16876</v>
      </c>
      <c r="G234" s="1">
        <v>45159</v>
      </c>
      <c r="H234">
        <v>50628</v>
      </c>
      <c r="I234">
        <v>3375.2</v>
      </c>
    </row>
    <row r="235" spans="1:9" x14ac:dyDescent="0.25">
      <c r="A235" t="s">
        <v>31</v>
      </c>
      <c r="B235" t="s">
        <v>12</v>
      </c>
      <c r="C235" t="s">
        <v>13</v>
      </c>
      <c r="D235" t="s">
        <v>30</v>
      </c>
      <c r="E235">
        <v>8</v>
      </c>
      <c r="F235">
        <v>9245</v>
      </c>
      <c r="G235" s="1">
        <v>45160</v>
      </c>
      <c r="H235">
        <v>73960</v>
      </c>
      <c r="I235">
        <v>1849</v>
      </c>
    </row>
    <row r="236" spans="1:9" x14ac:dyDescent="0.25">
      <c r="A236" t="s">
        <v>18</v>
      </c>
      <c r="B236" t="s">
        <v>8</v>
      </c>
      <c r="C236" t="s">
        <v>13</v>
      </c>
      <c r="D236" t="s">
        <v>25</v>
      </c>
      <c r="E236">
        <v>8</v>
      </c>
      <c r="F236">
        <v>8214</v>
      </c>
      <c r="G236" s="1">
        <v>45161</v>
      </c>
      <c r="H236">
        <v>65712</v>
      </c>
      <c r="I236">
        <v>1642.8</v>
      </c>
    </row>
    <row r="237" spans="1:9" x14ac:dyDescent="0.25">
      <c r="A237" t="s">
        <v>18</v>
      </c>
      <c r="B237" t="s">
        <v>8</v>
      </c>
      <c r="C237" t="s">
        <v>16</v>
      </c>
      <c r="D237" t="s">
        <v>30</v>
      </c>
      <c r="E237">
        <v>4</v>
      </c>
      <c r="F237">
        <v>1726</v>
      </c>
      <c r="G237" s="1">
        <v>45162</v>
      </c>
      <c r="H237">
        <v>6904</v>
      </c>
      <c r="I237">
        <v>345.2</v>
      </c>
    </row>
    <row r="238" spans="1:9" x14ac:dyDescent="0.25">
      <c r="A238" t="s">
        <v>7</v>
      </c>
      <c r="B238" t="s">
        <v>8</v>
      </c>
      <c r="C238" t="s">
        <v>13</v>
      </c>
      <c r="D238" t="s">
        <v>28</v>
      </c>
      <c r="E238">
        <v>4</v>
      </c>
      <c r="F238">
        <v>47600</v>
      </c>
      <c r="G238" s="1">
        <v>45163</v>
      </c>
      <c r="H238">
        <v>190400</v>
      </c>
      <c r="I238">
        <v>9520</v>
      </c>
    </row>
    <row r="239" spans="1:9" x14ac:dyDescent="0.25">
      <c r="A239" t="s">
        <v>32</v>
      </c>
      <c r="B239" t="s">
        <v>24</v>
      </c>
      <c r="C239" t="s">
        <v>13</v>
      </c>
      <c r="D239" t="s">
        <v>28</v>
      </c>
      <c r="E239">
        <v>5</v>
      </c>
      <c r="F239">
        <v>12362</v>
      </c>
      <c r="G239" s="1">
        <v>45164</v>
      </c>
      <c r="H239">
        <v>61810</v>
      </c>
      <c r="I239">
        <v>2472.4</v>
      </c>
    </row>
    <row r="240" spans="1:9" x14ac:dyDescent="0.25">
      <c r="A240" t="s">
        <v>32</v>
      </c>
      <c r="B240" t="s">
        <v>24</v>
      </c>
      <c r="C240" t="s">
        <v>9</v>
      </c>
      <c r="D240" t="s">
        <v>30</v>
      </c>
      <c r="E240">
        <v>6</v>
      </c>
      <c r="F240">
        <v>19297</v>
      </c>
      <c r="G240" s="1">
        <v>45165</v>
      </c>
      <c r="H240">
        <v>115782</v>
      </c>
      <c r="I240">
        <v>3859.4</v>
      </c>
    </row>
    <row r="241" spans="1:9" x14ac:dyDescent="0.25">
      <c r="A241" t="s">
        <v>23</v>
      </c>
      <c r="B241" t="s">
        <v>8</v>
      </c>
      <c r="C241" t="s">
        <v>19</v>
      </c>
      <c r="D241" t="s">
        <v>25</v>
      </c>
      <c r="E241">
        <v>5</v>
      </c>
      <c r="F241">
        <v>31448</v>
      </c>
      <c r="G241" s="1">
        <v>45166</v>
      </c>
      <c r="H241">
        <v>157240</v>
      </c>
      <c r="I241">
        <v>6289.6</v>
      </c>
    </row>
    <row r="242" spans="1:9" x14ac:dyDescent="0.25">
      <c r="A242" t="s">
        <v>23</v>
      </c>
      <c r="B242" t="s">
        <v>12</v>
      </c>
      <c r="C242" t="s">
        <v>19</v>
      </c>
      <c r="D242" t="s">
        <v>30</v>
      </c>
      <c r="E242">
        <v>7</v>
      </c>
      <c r="F242">
        <v>27172</v>
      </c>
      <c r="G242" s="1">
        <v>45167</v>
      </c>
      <c r="H242">
        <v>190204</v>
      </c>
      <c r="I242">
        <v>5434.4</v>
      </c>
    </row>
    <row r="243" spans="1:9" x14ac:dyDescent="0.25">
      <c r="A243" t="s">
        <v>23</v>
      </c>
      <c r="B243" t="s">
        <v>24</v>
      </c>
      <c r="C243" t="s">
        <v>9</v>
      </c>
      <c r="D243" t="s">
        <v>25</v>
      </c>
      <c r="E243">
        <v>2</v>
      </c>
      <c r="F243">
        <v>43874</v>
      </c>
      <c r="G243" s="1">
        <v>45168</v>
      </c>
      <c r="H243">
        <v>87748</v>
      </c>
      <c r="I243">
        <v>8774.7999999999993</v>
      </c>
    </row>
    <row r="244" spans="1:9" x14ac:dyDescent="0.25">
      <c r="A244" t="s">
        <v>11</v>
      </c>
      <c r="B244" t="s">
        <v>8</v>
      </c>
      <c r="C244" t="s">
        <v>16</v>
      </c>
      <c r="D244" t="s">
        <v>25</v>
      </c>
      <c r="E244">
        <v>7</v>
      </c>
      <c r="F244">
        <v>8657</v>
      </c>
      <c r="G244" s="1">
        <v>45169</v>
      </c>
      <c r="H244">
        <v>60599</v>
      </c>
      <c r="I244">
        <v>1731.4</v>
      </c>
    </row>
    <row r="245" spans="1:9" x14ac:dyDescent="0.25">
      <c r="A245" t="s">
        <v>15</v>
      </c>
      <c r="B245" t="s">
        <v>8</v>
      </c>
      <c r="C245" t="s">
        <v>19</v>
      </c>
      <c r="D245" t="s">
        <v>17</v>
      </c>
      <c r="E245">
        <v>7</v>
      </c>
      <c r="F245">
        <v>19850</v>
      </c>
      <c r="G245" s="1">
        <v>45170</v>
      </c>
      <c r="H245">
        <v>138950</v>
      </c>
      <c r="I245">
        <v>3970</v>
      </c>
    </row>
    <row r="246" spans="1:9" x14ac:dyDescent="0.25">
      <c r="A246" t="s">
        <v>27</v>
      </c>
      <c r="B246" t="s">
        <v>12</v>
      </c>
      <c r="C246" t="s">
        <v>13</v>
      </c>
      <c r="D246" t="s">
        <v>20</v>
      </c>
      <c r="E246">
        <v>1</v>
      </c>
      <c r="F246">
        <v>26425</v>
      </c>
      <c r="G246" s="1">
        <v>45171</v>
      </c>
      <c r="H246">
        <v>26425</v>
      </c>
      <c r="I246">
        <v>5285</v>
      </c>
    </row>
    <row r="247" spans="1:9" x14ac:dyDescent="0.25">
      <c r="A247" t="s">
        <v>15</v>
      </c>
      <c r="B247" t="s">
        <v>21</v>
      </c>
      <c r="C247" t="s">
        <v>19</v>
      </c>
      <c r="D247" t="s">
        <v>14</v>
      </c>
      <c r="E247">
        <v>7</v>
      </c>
      <c r="F247">
        <v>27685</v>
      </c>
      <c r="G247" s="1">
        <v>45172</v>
      </c>
      <c r="H247">
        <v>193795</v>
      </c>
      <c r="I247">
        <v>5537</v>
      </c>
    </row>
    <row r="248" spans="1:9" x14ac:dyDescent="0.25">
      <c r="A248" t="s">
        <v>31</v>
      </c>
      <c r="B248" t="s">
        <v>24</v>
      </c>
      <c r="C248" t="s">
        <v>13</v>
      </c>
      <c r="D248" t="s">
        <v>25</v>
      </c>
      <c r="E248">
        <v>5</v>
      </c>
      <c r="F248">
        <v>48319</v>
      </c>
      <c r="G248" s="1">
        <v>45173</v>
      </c>
      <c r="H248">
        <v>241595</v>
      </c>
      <c r="I248">
        <v>9663.7999999999993</v>
      </c>
    </row>
    <row r="249" spans="1:9" x14ac:dyDescent="0.25">
      <c r="A249" t="s">
        <v>15</v>
      </c>
      <c r="B249" t="s">
        <v>12</v>
      </c>
      <c r="C249" t="s">
        <v>16</v>
      </c>
      <c r="D249" t="s">
        <v>26</v>
      </c>
      <c r="E249">
        <v>3</v>
      </c>
      <c r="F249">
        <v>25578</v>
      </c>
      <c r="G249" s="1">
        <v>45174</v>
      </c>
      <c r="H249">
        <v>76734</v>
      </c>
      <c r="I249">
        <v>5115.6000000000004</v>
      </c>
    </row>
    <row r="250" spans="1:9" x14ac:dyDescent="0.25">
      <c r="A250" t="s">
        <v>11</v>
      </c>
      <c r="B250" t="s">
        <v>8</v>
      </c>
      <c r="C250" t="s">
        <v>9</v>
      </c>
      <c r="D250" t="s">
        <v>25</v>
      </c>
      <c r="E250">
        <v>3</v>
      </c>
      <c r="F250">
        <v>29831</v>
      </c>
      <c r="G250" s="1">
        <v>45175</v>
      </c>
      <c r="H250">
        <v>89493</v>
      </c>
      <c r="I250">
        <v>5966.2</v>
      </c>
    </row>
    <row r="251" spans="1:9" x14ac:dyDescent="0.25">
      <c r="A251" t="s">
        <v>31</v>
      </c>
      <c r="B251" t="s">
        <v>8</v>
      </c>
      <c r="C251" t="s">
        <v>19</v>
      </c>
      <c r="D251" t="s">
        <v>25</v>
      </c>
      <c r="E251">
        <v>4</v>
      </c>
      <c r="F251">
        <v>8906</v>
      </c>
      <c r="G251" s="1">
        <v>45176</v>
      </c>
      <c r="H251">
        <v>35624</v>
      </c>
      <c r="I251">
        <v>1781.2</v>
      </c>
    </row>
    <row r="252" spans="1:9" x14ac:dyDescent="0.25">
      <c r="A252" t="s">
        <v>15</v>
      </c>
      <c r="B252" t="s">
        <v>12</v>
      </c>
      <c r="C252" t="s">
        <v>9</v>
      </c>
      <c r="D252" t="s">
        <v>25</v>
      </c>
      <c r="E252">
        <v>2</v>
      </c>
      <c r="F252">
        <v>8287</v>
      </c>
      <c r="G252" s="1">
        <v>45177</v>
      </c>
      <c r="H252">
        <v>16574</v>
      </c>
      <c r="I252">
        <v>1657.4</v>
      </c>
    </row>
    <row r="253" spans="1:9" x14ac:dyDescent="0.25">
      <c r="A253" t="s">
        <v>11</v>
      </c>
      <c r="B253" t="s">
        <v>24</v>
      </c>
      <c r="C253" t="s">
        <v>19</v>
      </c>
      <c r="D253" t="s">
        <v>17</v>
      </c>
      <c r="E253">
        <v>2</v>
      </c>
      <c r="F253">
        <v>34660</v>
      </c>
      <c r="G253" s="1">
        <v>45178</v>
      </c>
      <c r="H253">
        <v>69320</v>
      </c>
      <c r="I253">
        <v>6932</v>
      </c>
    </row>
    <row r="254" spans="1:9" x14ac:dyDescent="0.25">
      <c r="A254" t="s">
        <v>27</v>
      </c>
      <c r="B254" t="s">
        <v>21</v>
      </c>
      <c r="C254" t="s">
        <v>13</v>
      </c>
      <c r="D254" t="s">
        <v>20</v>
      </c>
      <c r="E254">
        <v>1</v>
      </c>
      <c r="F254">
        <v>11222</v>
      </c>
      <c r="G254" s="1">
        <v>45179</v>
      </c>
      <c r="H254">
        <v>11222</v>
      </c>
      <c r="I254">
        <v>2244.4</v>
      </c>
    </row>
    <row r="255" spans="1:9" x14ac:dyDescent="0.25">
      <c r="A255" t="s">
        <v>15</v>
      </c>
      <c r="B255" t="s">
        <v>21</v>
      </c>
      <c r="C255" t="s">
        <v>9</v>
      </c>
      <c r="D255" t="s">
        <v>17</v>
      </c>
      <c r="E255">
        <v>5</v>
      </c>
      <c r="F255">
        <v>38443</v>
      </c>
      <c r="G255" s="1">
        <v>45180</v>
      </c>
      <c r="H255">
        <v>192215</v>
      </c>
      <c r="I255">
        <v>7688.6</v>
      </c>
    </row>
    <row r="256" spans="1:9" x14ac:dyDescent="0.25">
      <c r="A256" t="s">
        <v>11</v>
      </c>
      <c r="B256" t="s">
        <v>8</v>
      </c>
      <c r="C256" t="s">
        <v>19</v>
      </c>
      <c r="D256" t="s">
        <v>28</v>
      </c>
      <c r="E256">
        <v>4</v>
      </c>
      <c r="F256">
        <v>35701</v>
      </c>
      <c r="G256" s="1">
        <v>45181</v>
      </c>
      <c r="H256">
        <v>142804</v>
      </c>
      <c r="I256">
        <v>7140.2</v>
      </c>
    </row>
    <row r="257" spans="1:9" x14ac:dyDescent="0.25">
      <c r="A257" t="s">
        <v>23</v>
      </c>
      <c r="B257" t="s">
        <v>24</v>
      </c>
      <c r="C257" t="s">
        <v>13</v>
      </c>
      <c r="D257" t="s">
        <v>17</v>
      </c>
      <c r="E257">
        <v>2</v>
      </c>
      <c r="F257">
        <v>18764</v>
      </c>
      <c r="G257" s="1">
        <v>45182</v>
      </c>
      <c r="H257">
        <v>37528</v>
      </c>
      <c r="I257">
        <v>3752.8</v>
      </c>
    </row>
    <row r="258" spans="1:9" x14ac:dyDescent="0.25">
      <c r="A258" t="s">
        <v>32</v>
      </c>
      <c r="B258" t="s">
        <v>21</v>
      </c>
      <c r="C258" t="s">
        <v>9</v>
      </c>
      <c r="D258" t="s">
        <v>26</v>
      </c>
      <c r="E258">
        <v>3</v>
      </c>
      <c r="F258">
        <v>45641</v>
      </c>
      <c r="G258" s="1">
        <v>45183</v>
      </c>
      <c r="H258">
        <v>136923</v>
      </c>
      <c r="I258">
        <v>9128.2000000000007</v>
      </c>
    </row>
    <row r="259" spans="1:9" x14ac:dyDescent="0.25">
      <c r="A259" t="s">
        <v>23</v>
      </c>
      <c r="B259" t="s">
        <v>24</v>
      </c>
      <c r="C259" t="s">
        <v>9</v>
      </c>
      <c r="D259" t="s">
        <v>26</v>
      </c>
      <c r="E259">
        <v>7</v>
      </c>
      <c r="F259">
        <v>18674</v>
      </c>
      <c r="G259" s="1">
        <v>45184</v>
      </c>
      <c r="H259">
        <v>130718</v>
      </c>
      <c r="I259">
        <v>3734.8</v>
      </c>
    </row>
    <row r="260" spans="1:9" x14ac:dyDescent="0.25">
      <c r="A260" t="s">
        <v>32</v>
      </c>
      <c r="B260" t="s">
        <v>24</v>
      </c>
      <c r="C260" t="s">
        <v>19</v>
      </c>
      <c r="D260" t="s">
        <v>17</v>
      </c>
      <c r="E260">
        <v>7</v>
      </c>
      <c r="F260">
        <v>19024</v>
      </c>
      <c r="G260" s="1">
        <v>45185</v>
      </c>
      <c r="H260">
        <v>133168</v>
      </c>
      <c r="I260">
        <v>3804.8</v>
      </c>
    </row>
    <row r="261" spans="1:9" x14ac:dyDescent="0.25">
      <c r="A261" t="s">
        <v>29</v>
      </c>
      <c r="B261" t="s">
        <v>8</v>
      </c>
      <c r="C261" t="s">
        <v>19</v>
      </c>
      <c r="D261" t="s">
        <v>20</v>
      </c>
      <c r="E261">
        <v>4</v>
      </c>
      <c r="F261">
        <v>47007</v>
      </c>
      <c r="G261" s="1">
        <v>45186</v>
      </c>
      <c r="H261">
        <v>188028</v>
      </c>
      <c r="I261">
        <v>9401.4</v>
      </c>
    </row>
    <row r="262" spans="1:9" x14ac:dyDescent="0.25">
      <c r="A262" t="s">
        <v>29</v>
      </c>
      <c r="B262" t="s">
        <v>21</v>
      </c>
      <c r="C262" t="s">
        <v>19</v>
      </c>
      <c r="D262" t="s">
        <v>30</v>
      </c>
      <c r="E262">
        <v>5</v>
      </c>
      <c r="F262">
        <v>24874</v>
      </c>
      <c r="G262" s="1">
        <v>45187</v>
      </c>
      <c r="H262">
        <v>124370</v>
      </c>
      <c r="I262">
        <v>4974.8</v>
      </c>
    </row>
    <row r="263" spans="1:9" x14ac:dyDescent="0.25">
      <c r="A263" t="s">
        <v>29</v>
      </c>
      <c r="B263" t="s">
        <v>12</v>
      </c>
      <c r="C263" t="s">
        <v>13</v>
      </c>
      <c r="D263" t="s">
        <v>14</v>
      </c>
      <c r="E263">
        <v>5</v>
      </c>
      <c r="F263">
        <v>44642</v>
      </c>
      <c r="G263" s="1">
        <v>45188</v>
      </c>
      <c r="H263">
        <v>223210</v>
      </c>
      <c r="I263">
        <v>8928.4</v>
      </c>
    </row>
    <row r="264" spans="1:9" x14ac:dyDescent="0.25">
      <c r="A264" t="s">
        <v>27</v>
      </c>
      <c r="B264" t="s">
        <v>8</v>
      </c>
      <c r="C264" t="s">
        <v>19</v>
      </c>
      <c r="D264" t="s">
        <v>20</v>
      </c>
      <c r="E264">
        <v>6</v>
      </c>
      <c r="F264">
        <v>33284</v>
      </c>
      <c r="G264" s="1">
        <v>45189</v>
      </c>
      <c r="H264">
        <v>199704</v>
      </c>
      <c r="I264">
        <v>6656.8</v>
      </c>
    </row>
    <row r="265" spans="1:9" x14ac:dyDescent="0.25">
      <c r="A265" t="s">
        <v>23</v>
      </c>
      <c r="B265" t="s">
        <v>21</v>
      </c>
      <c r="C265" t="s">
        <v>9</v>
      </c>
      <c r="D265" t="s">
        <v>17</v>
      </c>
      <c r="E265">
        <v>9</v>
      </c>
      <c r="F265">
        <v>18602</v>
      </c>
      <c r="G265" s="1">
        <v>45190</v>
      </c>
      <c r="H265">
        <v>167418</v>
      </c>
      <c r="I265">
        <v>3720.4</v>
      </c>
    </row>
    <row r="266" spans="1:9" x14ac:dyDescent="0.25">
      <c r="A266" t="s">
        <v>32</v>
      </c>
      <c r="B266" t="s">
        <v>21</v>
      </c>
      <c r="C266" t="s">
        <v>9</v>
      </c>
      <c r="D266" t="s">
        <v>25</v>
      </c>
      <c r="E266">
        <v>2</v>
      </c>
      <c r="F266">
        <v>38784</v>
      </c>
      <c r="G266" s="1">
        <v>45191</v>
      </c>
      <c r="H266">
        <v>77568</v>
      </c>
      <c r="I266">
        <v>7756.8</v>
      </c>
    </row>
    <row r="267" spans="1:9" x14ac:dyDescent="0.25">
      <c r="A267" t="s">
        <v>11</v>
      </c>
      <c r="B267" t="s">
        <v>21</v>
      </c>
      <c r="C267" t="s">
        <v>19</v>
      </c>
      <c r="D267" t="s">
        <v>10</v>
      </c>
      <c r="E267">
        <v>5</v>
      </c>
      <c r="F267">
        <v>24265</v>
      </c>
      <c r="G267" s="1">
        <v>45192</v>
      </c>
      <c r="H267">
        <v>121325</v>
      </c>
      <c r="I267">
        <v>4853</v>
      </c>
    </row>
    <row r="268" spans="1:9" x14ac:dyDescent="0.25">
      <c r="A268" t="s">
        <v>31</v>
      </c>
      <c r="B268" t="s">
        <v>21</v>
      </c>
      <c r="C268" t="s">
        <v>19</v>
      </c>
      <c r="D268" t="s">
        <v>14</v>
      </c>
      <c r="E268">
        <v>3</v>
      </c>
      <c r="F268">
        <v>26931</v>
      </c>
      <c r="G268" s="1">
        <v>45193</v>
      </c>
      <c r="H268">
        <v>80793</v>
      </c>
      <c r="I268">
        <v>5386.2</v>
      </c>
    </row>
    <row r="269" spans="1:9" x14ac:dyDescent="0.25">
      <c r="A269" t="s">
        <v>11</v>
      </c>
      <c r="B269" t="s">
        <v>21</v>
      </c>
      <c r="C269" t="s">
        <v>16</v>
      </c>
      <c r="D269" t="s">
        <v>14</v>
      </c>
      <c r="E269">
        <v>4</v>
      </c>
      <c r="F269">
        <v>29841</v>
      </c>
      <c r="G269" s="1">
        <v>45194</v>
      </c>
      <c r="H269">
        <v>119364</v>
      </c>
      <c r="I269">
        <v>5968.2</v>
      </c>
    </row>
    <row r="270" spans="1:9" x14ac:dyDescent="0.25">
      <c r="A270" t="s">
        <v>31</v>
      </c>
      <c r="B270" t="s">
        <v>24</v>
      </c>
      <c r="C270" t="s">
        <v>9</v>
      </c>
      <c r="D270" t="s">
        <v>26</v>
      </c>
      <c r="E270">
        <v>6</v>
      </c>
      <c r="F270">
        <v>30192</v>
      </c>
      <c r="G270" s="1">
        <v>45195</v>
      </c>
      <c r="H270">
        <v>181152</v>
      </c>
      <c r="I270">
        <v>6038.4</v>
      </c>
    </row>
    <row r="271" spans="1:9" x14ac:dyDescent="0.25">
      <c r="A271" t="s">
        <v>18</v>
      </c>
      <c r="B271" t="s">
        <v>8</v>
      </c>
      <c r="C271" t="s">
        <v>13</v>
      </c>
      <c r="D271" t="s">
        <v>14</v>
      </c>
      <c r="E271">
        <v>8</v>
      </c>
      <c r="F271">
        <v>47542</v>
      </c>
      <c r="G271" s="1">
        <v>45196</v>
      </c>
      <c r="H271">
        <v>380336</v>
      </c>
      <c r="I271">
        <v>9508.4</v>
      </c>
    </row>
    <row r="272" spans="1:9" x14ac:dyDescent="0.25">
      <c r="A272" t="s">
        <v>11</v>
      </c>
      <c r="B272" t="s">
        <v>24</v>
      </c>
      <c r="C272" t="s">
        <v>16</v>
      </c>
      <c r="D272" t="s">
        <v>17</v>
      </c>
      <c r="E272">
        <v>1</v>
      </c>
      <c r="F272">
        <v>43520</v>
      </c>
      <c r="G272" s="1">
        <v>45197</v>
      </c>
      <c r="H272">
        <v>43520</v>
      </c>
      <c r="I272">
        <v>8704</v>
      </c>
    </row>
    <row r="273" spans="1:9" x14ac:dyDescent="0.25">
      <c r="A273" t="s">
        <v>15</v>
      </c>
      <c r="B273" t="s">
        <v>12</v>
      </c>
      <c r="C273" t="s">
        <v>19</v>
      </c>
      <c r="D273" t="s">
        <v>25</v>
      </c>
      <c r="E273">
        <v>8</v>
      </c>
      <c r="F273">
        <v>16585</v>
      </c>
      <c r="G273" s="1">
        <v>45198</v>
      </c>
      <c r="H273">
        <v>132680</v>
      </c>
      <c r="I273">
        <v>3317</v>
      </c>
    </row>
    <row r="274" spans="1:9" x14ac:dyDescent="0.25">
      <c r="A274" t="s">
        <v>15</v>
      </c>
      <c r="B274" t="s">
        <v>21</v>
      </c>
      <c r="C274" t="s">
        <v>19</v>
      </c>
      <c r="D274" t="s">
        <v>25</v>
      </c>
      <c r="E274">
        <v>7</v>
      </c>
      <c r="F274">
        <v>26559</v>
      </c>
      <c r="G274" s="1">
        <v>45199</v>
      </c>
      <c r="H274">
        <v>185913</v>
      </c>
      <c r="I274">
        <v>5311.8</v>
      </c>
    </row>
    <row r="275" spans="1:9" x14ac:dyDescent="0.25">
      <c r="A275" t="s">
        <v>7</v>
      </c>
      <c r="B275" t="s">
        <v>8</v>
      </c>
      <c r="C275" t="s">
        <v>9</v>
      </c>
      <c r="D275" t="s">
        <v>28</v>
      </c>
      <c r="E275">
        <v>1</v>
      </c>
      <c r="F275">
        <v>41059</v>
      </c>
      <c r="G275" s="1">
        <v>45200</v>
      </c>
      <c r="H275">
        <v>41059</v>
      </c>
      <c r="I275">
        <v>8211.7999999999993</v>
      </c>
    </row>
    <row r="276" spans="1:9" x14ac:dyDescent="0.25">
      <c r="A276" t="s">
        <v>23</v>
      </c>
      <c r="B276" t="s">
        <v>21</v>
      </c>
      <c r="C276" t="s">
        <v>19</v>
      </c>
      <c r="D276" t="s">
        <v>25</v>
      </c>
      <c r="E276">
        <v>2</v>
      </c>
      <c r="F276">
        <v>34742</v>
      </c>
      <c r="G276" s="1">
        <v>45201</v>
      </c>
      <c r="H276">
        <v>69484</v>
      </c>
      <c r="I276">
        <v>6948.4</v>
      </c>
    </row>
    <row r="277" spans="1:9" x14ac:dyDescent="0.25">
      <c r="A277" t="s">
        <v>31</v>
      </c>
      <c r="B277" t="s">
        <v>8</v>
      </c>
      <c r="C277" t="s">
        <v>13</v>
      </c>
      <c r="D277" t="s">
        <v>20</v>
      </c>
      <c r="E277">
        <v>3</v>
      </c>
      <c r="F277">
        <v>5133</v>
      </c>
      <c r="G277" s="1">
        <v>45202</v>
      </c>
      <c r="H277">
        <v>15399</v>
      </c>
      <c r="I277">
        <v>1026.5999999999999</v>
      </c>
    </row>
    <row r="278" spans="1:9" x14ac:dyDescent="0.25">
      <c r="A278" t="s">
        <v>31</v>
      </c>
      <c r="B278" t="s">
        <v>24</v>
      </c>
      <c r="C278" t="s">
        <v>9</v>
      </c>
      <c r="D278" t="s">
        <v>25</v>
      </c>
      <c r="E278">
        <v>1</v>
      </c>
      <c r="F278">
        <v>15663</v>
      </c>
      <c r="G278" s="1">
        <v>45203</v>
      </c>
      <c r="H278">
        <v>15663</v>
      </c>
      <c r="I278">
        <v>3132.6</v>
      </c>
    </row>
    <row r="279" spans="1:9" x14ac:dyDescent="0.25">
      <c r="A279" t="s">
        <v>23</v>
      </c>
      <c r="B279" t="s">
        <v>8</v>
      </c>
      <c r="C279" t="s">
        <v>19</v>
      </c>
      <c r="D279" t="s">
        <v>26</v>
      </c>
      <c r="E279">
        <v>9</v>
      </c>
      <c r="F279">
        <v>22754</v>
      </c>
      <c r="G279" s="1">
        <v>45204</v>
      </c>
      <c r="H279">
        <v>204786</v>
      </c>
      <c r="I279">
        <v>4550.8</v>
      </c>
    </row>
    <row r="280" spans="1:9" x14ac:dyDescent="0.25">
      <c r="A280" t="s">
        <v>27</v>
      </c>
      <c r="B280" t="s">
        <v>12</v>
      </c>
      <c r="C280" t="s">
        <v>9</v>
      </c>
      <c r="D280" t="s">
        <v>25</v>
      </c>
      <c r="E280">
        <v>8</v>
      </c>
      <c r="F280">
        <v>4972</v>
      </c>
      <c r="G280" s="1">
        <v>45205</v>
      </c>
      <c r="H280">
        <v>39776</v>
      </c>
      <c r="I280">
        <v>994.4</v>
      </c>
    </row>
    <row r="281" spans="1:9" x14ac:dyDescent="0.25">
      <c r="A281" t="s">
        <v>7</v>
      </c>
      <c r="B281" t="s">
        <v>12</v>
      </c>
      <c r="C281" t="s">
        <v>19</v>
      </c>
      <c r="D281" t="s">
        <v>28</v>
      </c>
      <c r="E281">
        <v>2</v>
      </c>
      <c r="F281">
        <v>6295</v>
      </c>
      <c r="G281" s="1">
        <v>45206</v>
      </c>
      <c r="H281">
        <v>12590</v>
      </c>
      <c r="I281">
        <v>1259</v>
      </c>
    </row>
    <row r="282" spans="1:9" x14ac:dyDescent="0.25">
      <c r="A282" t="s">
        <v>27</v>
      </c>
      <c r="B282" t="s">
        <v>8</v>
      </c>
      <c r="C282" t="s">
        <v>19</v>
      </c>
      <c r="D282" t="s">
        <v>10</v>
      </c>
      <c r="E282">
        <v>9</v>
      </c>
      <c r="F282">
        <v>47681</v>
      </c>
      <c r="G282" s="1">
        <v>45207</v>
      </c>
      <c r="H282">
        <v>429129</v>
      </c>
      <c r="I282">
        <v>9536.2000000000007</v>
      </c>
    </row>
    <row r="283" spans="1:9" x14ac:dyDescent="0.25">
      <c r="A283" t="s">
        <v>27</v>
      </c>
      <c r="B283" t="s">
        <v>8</v>
      </c>
      <c r="C283" t="s">
        <v>19</v>
      </c>
      <c r="D283" t="s">
        <v>17</v>
      </c>
      <c r="E283">
        <v>7</v>
      </c>
      <c r="F283">
        <v>42873</v>
      </c>
      <c r="G283" s="1">
        <v>45208</v>
      </c>
      <c r="H283">
        <v>300111</v>
      </c>
      <c r="I283">
        <v>8574.6</v>
      </c>
    </row>
    <row r="284" spans="1:9" x14ac:dyDescent="0.25">
      <c r="A284" t="s">
        <v>27</v>
      </c>
      <c r="B284" t="s">
        <v>8</v>
      </c>
      <c r="C284" t="s">
        <v>13</v>
      </c>
      <c r="D284" t="s">
        <v>26</v>
      </c>
      <c r="E284">
        <v>9</v>
      </c>
      <c r="F284">
        <v>30125</v>
      </c>
      <c r="G284" s="1">
        <v>45209</v>
      </c>
      <c r="H284">
        <v>271125</v>
      </c>
      <c r="I284">
        <v>6025</v>
      </c>
    </row>
    <row r="285" spans="1:9" x14ac:dyDescent="0.25">
      <c r="A285" t="s">
        <v>23</v>
      </c>
      <c r="B285" t="s">
        <v>8</v>
      </c>
      <c r="C285" t="s">
        <v>13</v>
      </c>
      <c r="D285" t="s">
        <v>20</v>
      </c>
      <c r="E285">
        <v>6</v>
      </c>
      <c r="F285">
        <v>41996</v>
      </c>
      <c r="G285" s="1">
        <v>45210</v>
      </c>
      <c r="H285">
        <v>251976</v>
      </c>
      <c r="I285">
        <v>8399.2000000000007</v>
      </c>
    </row>
    <row r="286" spans="1:9" x14ac:dyDescent="0.25">
      <c r="A286" t="s">
        <v>27</v>
      </c>
      <c r="B286" t="s">
        <v>12</v>
      </c>
      <c r="C286" t="s">
        <v>9</v>
      </c>
      <c r="D286" t="s">
        <v>10</v>
      </c>
      <c r="E286">
        <v>6</v>
      </c>
      <c r="F286">
        <v>10903</v>
      </c>
      <c r="G286" s="1">
        <v>45211</v>
      </c>
      <c r="H286">
        <v>65418</v>
      </c>
      <c r="I286">
        <v>2180.6</v>
      </c>
    </row>
    <row r="287" spans="1:9" x14ac:dyDescent="0.25">
      <c r="A287" t="s">
        <v>15</v>
      </c>
      <c r="B287" t="s">
        <v>21</v>
      </c>
      <c r="C287" t="s">
        <v>19</v>
      </c>
      <c r="D287" t="s">
        <v>26</v>
      </c>
      <c r="E287">
        <v>4</v>
      </c>
      <c r="F287">
        <v>4020</v>
      </c>
      <c r="G287" s="1">
        <v>45212</v>
      </c>
      <c r="H287">
        <v>16080</v>
      </c>
      <c r="I287">
        <v>804</v>
      </c>
    </row>
    <row r="288" spans="1:9" x14ac:dyDescent="0.25">
      <c r="A288" t="s">
        <v>29</v>
      </c>
      <c r="B288" t="s">
        <v>8</v>
      </c>
      <c r="C288" t="s">
        <v>19</v>
      </c>
      <c r="D288" t="s">
        <v>30</v>
      </c>
      <c r="E288">
        <v>2</v>
      </c>
      <c r="F288">
        <v>42755</v>
      </c>
      <c r="G288" s="1">
        <v>45213</v>
      </c>
      <c r="H288">
        <v>85510</v>
      </c>
      <c r="I288">
        <v>8551</v>
      </c>
    </row>
    <row r="289" spans="1:9" x14ac:dyDescent="0.25">
      <c r="A289" t="s">
        <v>18</v>
      </c>
      <c r="B289" t="s">
        <v>8</v>
      </c>
      <c r="C289" t="s">
        <v>13</v>
      </c>
      <c r="D289" t="s">
        <v>14</v>
      </c>
      <c r="E289">
        <v>7</v>
      </c>
      <c r="F289">
        <v>21420</v>
      </c>
      <c r="G289" s="1">
        <v>45214</v>
      </c>
      <c r="H289">
        <v>149940</v>
      </c>
      <c r="I289">
        <v>4284</v>
      </c>
    </row>
    <row r="290" spans="1:9" x14ac:dyDescent="0.25">
      <c r="A290" t="s">
        <v>31</v>
      </c>
      <c r="B290" t="s">
        <v>12</v>
      </c>
      <c r="C290" t="s">
        <v>19</v>
      </c>
      <c r="D290" t="s">
        <v>30</v>
      </c>
      <c r="E290">
        <v>5</v>
      </c>
      <c r="F290">
        <v>22452</v>
      </c>
      <c r="G290" s="1">
        <v>45215</v>
      </c>
      <c r="H290">
        <v>112260</v>
      </c>
      <c r="I290">
        <v>4490.3999999999996</v>
      </c>
    </row>
    <row r="291" spans="1:9" x14ac:dyDescent="0.25">
      <c r="A291" t="s">
        <v>31</v>
      </c>
      <c r="B291" t="s">
        <v>12</v>
      </c>
      <c r="C291" t="s">
        <v>13</v>
      </c>
      <c r="D291" t="s">
        <v>25</v>
      </c>
      <c r="E291">
        <v>6</v>
      </c>
      <c r="F291">
        <v>46648</v>
      </c>
      <c r="G291" s="1">
        <v>45216</v>
      </c>
      <c r="H291">
        <v>279888</v>
      </c>
      <c r="I291">
        <v>9329.6</v>
      </c>
    </row>
    <row r="292" spans="1:9" x14ac:dyDescent="0.25">
      <c r="A292" t="s">
        <v>18</v>
      </c>
      <c r="B292" t="s">
        <v>24</v>
      </c>
      <c r="C292" t="s">
        <v>19</v>
      </c>
      <c r="D292" t="s">
        <v>10</v>
      </c>
      <c r="E292">
        <v>2</v>
      </c>
      <c r="F292">
        <v>39001</v>
      </c>
      <c r="G292" s="1">
        <v>45217</v>
      </c>
      <c r="H292">
        <v>78002</v>
      </c>
      <c r="I292">
        <v>7800.2</v>
      </c>
    </row>
    <row r="293" spans="1:9" x14ac:dyDescent="0.25">
      <c r="A293" t="s">
        <v>23</v>
      </c>
      <c r="B293" t="s">
        <v>8</v>
      </c>
      <c r="C293" t="s">
        <v>9</v>
      </c>
      <c r="D293" t="s">
        <v>25</v>
      </c>
      <c r="E293">
        <v>5</v>
      </c>
      <c r="F293">
        <v>10516</v>
      </c>
      <c r="G293" s="1">
        <v>45218</v>
      </c>
      <c r="H293">
        <v>52580</v>
      </c>
      <c r="I293">
        <v>2103.1999999999998</v>
      </c>
    </row>
    <row r="294" spans="1:9" x14ac:dyDescent="0.25">
      <c r="A294" t="s">
        <v>11</v>
      </c>
      <c r="B294" t="s">
        <v>24</v>
      </c>
      <c r="C294" t="s">
        <v>19</v>
      </c>
      <c r="D294" t="s">
        <v>14</v>
      </c>
      <c r="E294">
        <v>4</v>
      </c>
      <c r="F294">
        <v>48327</v>
      </c>
      <c r="G294" s="1">
        <v>45219</v>
      </c>
      <c r="H294">
        <v>193308</v>
      </c>
      <c r="I294">
        <v>9665.4</v>
      </c>
    </row>
    <row r="295" spans="1:9" x14ac:dyDescent="0.25">
      <c r="A295" t="s">
        <v>23</v>
      </c>
      <c r="B295" t="s">
        <v>12</v>
      </c>
      <c r="C295" t="s">
        <v>19</v>
      </c>
      <c r="D295" t="s">
        <v>26</v>
      </c>
      <c r="E295">
        <v>9</v>
      </c>
      <c r="F295">
        <v>3396</v>
      </c>
      <c r="G295" s="1">
        <v>45220</v>
      </c>
      <c r="H295">
        <v>30564</v>
      </c>
      <c r="I295">
        <v>679.2</v>
      </c>
    </row>
    <row r="296" spans="1:9" x14ac:dyDescent="0.25">
      <c r="A296" t="s">
        <v>31</v>
      </c>
      <c r="B296" t="s">
        <v>12</v>
      </c>
      <c r="C296" t="s">
        <v>16</v>
      </c>
      <c r="D296" t="s">
        <v>14</v>
      </c>
      <c r="E296">
        <v>6</v>
      </c>
      <c r="F296">
        <v>19546</v>
      </c>
      <c r="G296" s="1">
        <v>45221</v>
      </c>
      <c r="H296">
        <v>117276</v>
      </c>
      <c r="I296">
        <v>3909.2</v>
      </c>
    </row>
    <row r="297" spans="1:9" x14ac:dyDescent="0.25">
      <c r="A297" t="s">
        <v>31</v>
      </c>
      <c r="B297" t="s">
        <v>21</v>
      </c>
      <c r="C297" t="s">
        <v>13</v>
      </c>
      <c r="D297" t="s">
        <v>28</v>
      </c>
      <c r="E297">
        <v>2</v>
      </c>
      <c r="F297">
        <v>20129</v>
      </c>
      <c r="G297" s="1">
        <v>45222</v>
      </c>
      <c r="H297">
        <v>40258</v>
      </c>
      <c r="I297">
        <v>4025.8</v>
      </c>
    </row>
    <row r="298" spans="1:9" x14ac:dyDescent="0.25">
      <c r="A298" t="s">
        <v>18</v>
      </c>
      <c r="B298" t="s">
        <v>8</v>
      </c>
      <c r="C298" t="s">
        <v>19</v>
      </c>
      <c r="D298" t="s">
        <v>14</v>
      </c>
      <c r="E298">
        <v>1</v>
      </c>
      <c r="F298">
        <v>2591</v>
      </c>
      <c r="G298" s="1">
        <v>45223</v>
      </c>
      <c r="H298">
        <v>2591</v>
      </c>
      <c r="I298">
        <v>518.20000000000005</v>
      </c>
    </row>
    <row r="299" spans="1:9" x14ac:dyDescent="0.25">
      <c r="A299" t="s">
        <v>27</v>
      </c>
      <c r="B299" t="s">
        <v>24</v>
      </c>
      <c r="C299" t="s">
        <v>19</v>
      </c>
      <c r="D299" t="s">
        <v>28</v>
      </c>
      <c r="E299">
        <v>5</v>
      </c>
      <c r="F299">
        <v>12303</v>
      </c>
      <c r="G299" s="1">
        <v>45224</v>
      </c>
      <c r="H299">
        <v>61515</v>
      </c>
      <c r="I299">
        <v>2460.6</v>
      </c>
    </row>
    <row r="300" spans="1:9" x14ac:dyDescent="0.25">
      <c r="A300" t="s">
        <v>23</v>
      </c>
      <c r="B300" t="s">
        <v>12</v>
      </c>
      <c r="C300" t="s">
        <v>16</v>
      </c>
      <c r="D300" t="s">
        <v>14</v>
      </c>
      <c r="E300">
        <v>9</v>
      </c>
      <c r="F300">
        <v>31561</v>
      </c>
      <c r="G300" s="1">
        <v>45225</v>
      </c>
      <c r="H300">
        <v>284049</v>
      </c>
      <c r="I300">
        <v>6312.2</v>
      </c>
    </row>
    <row r="301" spans="1:9" x14ac:dyDescent="0.25">
      <c r="A301" t="s">
        <v>32</v>
      </c>
      <c r="B301" t="s">
        <v>12</v>
      </c>
      <c r="C301" t="s">
        <v>16</v>
      </c>
      <c r="D301" t="s">
        <v>17</v>
      </c>
      <c r="E301">
        <v>6</v>
      </c>
      <c r="F301">
        <v>7183</v>
      </c>
      <c r="G301" s="1">
        <v>45226</v>
      </c>
      <c r="H301">
        <v>43098</v>
      </c>
      <c r="I301">
        <v>1436.6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F7EF017-2561-49FD-B9FF-8569CC7C67F0}">
  <ds:schemaRefs/>
</ds:datastoreItem>
</file>

<file path=customXml/itemProps2.xml><?xml version="1.0" encoding="utf-8"?>
<ds:datastoreItem xmlns:ds="http://schemas.openxmlformats.org/officeDocument/2006/customXml" ds:itemID="{B46D02C0-5602-46D5-B434-38C124C74C8D}">
  <ds:schemaRefs/>
</ds:datastoreItem>
</file>

<file path=customXml/itemProps3.xml><?xml version="1.0" encoding="utf-8"?>
<ds:datastoreItem xmlns:ds="http://schemas.openxmlformats.org/officeDocument/2006/customXml" ds:itemID="{0211FC4F-DE3C-4700-A4FC-CB4A8C6F52AA}">
  <ds:schemaRefs/>
</ds:datastoreItem>
</file>

<file path=customXml/itemProps4.xml><?xml version="1.0" encoding="utf-8"?>
<ds:datastoreItem xmlns:ds="http://schemas.openxmlformats.org/officeDocument/2006/customXml" ds:itemID="{15B00846-ECCB-4961-9020-52442C98319C}">
  <ds:schemaRefs/>
</ds:datastoreItem>
</file>

<file path=customXml/itemProps5.xml><?xml version="1.0" encoding="utf-8"?>
<ds:datastoreItem xmlns:ds="http://schemas.openxmlformats.org/officeDocument/2006/customXml" ds:itemID="{BD2ADE8A-4136-4A80-9BF3-2AB46BE2EAF0}">
  <ds:schemaRefs>
    <ds:schemaRef ds:uri="http://schemas.microsoft.com/DataMashup"/>
  </ds:schemaRefs>
</ds:datastoreItem>
</file>

<file path=customXml/itemProps6.xml><?xml version="1.0" encoding="utf-8"?>
<ds:datastoreItem xmlns:ds="http://schemas.openxmlformats.org/officeDocument/2006/customXml" ds:itemID="{30EF503E-FE14-40F1-A9EF-B8A6846E80DD}">
  <ds:schemaRefs/>
</ds:datastoreItem>
</file>

<file path=customXml/itemProps7.xml><?xml version="1.0" encoding="utf-8"?>
<ds:datastoreItem xmlns:ds="http://schemas.openxmlformats.org/officeDocument/2006/customXml" ds:itemID="{8BE0BB5B-5CD3-4D99-909F-6FD18923BCE5}">
  <ds:schemaRefs/>
</ds:datastoreItem>
</file>

<file path=customXml/itemProps8.xml><?xml version="1.0" encoding="utf-8"?>
<ds:datastoreItem xmlns:ds="http://schemas.openxmlformats.org/officeDocument/2006/customXml" ds:itemID="{2544A162-A785-4C21-8658-F1D7FDA974B4}">
  <ds:schemaRefs/>
</ds:datastoreItem>
</file>

<file path=customXml/itemProps9.xml><?xml version="1.0" encoding="utf-8"?>
<ds:datastoreItem xmlns:ds="http://schemas.openxmlformats.org/officeDocument/2006/customXml" ds:itemID="{9D778F9F-ADC1-4F06-8406-7866AA808EE2}">
  <ds:schemaRefs/>
</ds:datastoreItem>
</file>

<file path=customXml/itemProps10.xml><?xml version="1.0" encoding="utf-8"?>
<ds:datastoreItem xmlns:ds="http://schemas.openxmlformats.org/officeDocument/2006/customXml" ds:itemID="{1705B756-22EF-4059-B727-D56BC5ACCA7E}">
  <ds:schemaRefs/>
</ds:datastoreItem>
</file>

<file path=customXml/itemProps11.xml><?xml version="1.0" encoding="utf-8"?>
<ds:datastoreItem xmlns:ds="http://schemas.openxmlformats.org/officeDocument/2006/customXml" ds:itemID="{EF0EEF09-3099-4E4D-8B4A-4AAA2CC2A42A}">
  <ds:schemaRefs/>
</ds:datastoreItem>
</file>

<file path=customXml/itemProps12.xml><?xml version="1.0" encoding="utf-8"?>
<ds:datastoreItem xmlns:ds="http://schemas.openxmlformats.org/officeDocument/2006/customXml" ds:itemID="{A845FF09-66AC-41B2-9B25-F3D4E7382B2F}">
  <ds:schemaRefs/>
</ds:datastoreItem>
</file>

<file path=customXml/itemProps13.xml><?xml version="1.0" encoding="utf-8"?>
<ds:datastoreItem xmlns:ds="http://schemas.openxmlformats.org/officeDocument/2006/customXml" ds:itemID="{0D3D2C3B-93EE-444E-B6A0-4ECDD3D6015E}">
  <ds:schemaRefs/>
</ds:datastoreItem>
</file>

<file path=customXml/itemProps14.xml><?xml version="1.0" encoding="utf-8"?>
<ds:datastoreItem xmlns:ds="http://schemas.openxmlformats.org/officeDocument/2006/customXml" ds:itemID="{0AAC8890-1A65-4A83-B53A-0C5139DB78E0}">
  <ds:schemaRefs/>
</ds:datastoreItem>
</file>

<file path=customXml/itemProps15.xml><?xml version="1.0" encoding="utf-8"?>
<ds:datastoreItem xmlns:ds="http://schemas.openxmlformats.org/officeDocument/2006/customXml" ds:itemID="{A500F427-ED04-4CD0-9708-59065FAEACB4}">
  <ds:schemaRefs/>
</ds:datastoreItem>
</file>

<file path=customXml/itemProps16.xml><?xml version="1.0" encoding="utf-8"?>
<ds:datastoreItem xmlns:ds="http://schemas.openxmlformats.org/officeDocument/2006/customXml" ds:itemID="{B51B9CC3-3E0D-491D-BC87-28E5B45311B6}">
  <ds:schemaRefs/>
</ds:datastoreItem>
</file>

<file path=customXml/itemProps17.xml><?xml version="1.0" encoding="utf-8"?>
<ds:datastoreItem xmlns:ds="http://schemas.openxmlformats.org/officeDocument/2006/customXml" ds:itemID="{011F91AB-6623-47EF-BAF4-4AFDA4AE7A8A}">
  <ds:schemaRefs/>
</ds:datastoreItem>
</file>

<file path=customXml/itemProps18.xml><?xml version="1.0" encoding="utf-8"?>
<ds:datastoreItem xmlns:ds="http://schemas.openxmlformats.org/officeDocument/2006/customXml" ds:itemID="{064A191D-C7BD-4368-A117-0036F6446F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Dashboaed 2</vt:lpstr>
      <vt:lpstr>sales_data_large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ASDC10</cp:lastModifiedBy>
  <dcterms:created xsi:type="dcterms:W3CDTF">2026-03-21T14:26:27Z</dcterms:created>
  <dcterms:modified xsi:type="dcterms:W3CDTF">2026-07-18T09:51:39Z</dcterms:modified>
</cp:coreProperties>
</file>